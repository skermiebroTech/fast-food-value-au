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 Value (g per $)" sheetId="1" state="visible" r:id="rId3"/>
    <sheet name="Best Value (kJ per $)" sheetId="2" state="visible" r:id="rId4"/>
    <sheet name="Best Value (protein per $)" sheetId="3" state="visible" r:id="rId5"/>
    <sheet name="All Items (by category)" sheetId="4" state="visible" r:id="rId6"/>
    <sheet name="Notes &amp; Meth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<sst xmlns="http://schemas.openxmlformats.org/spreadsheetml/2006/main" count="462" uniqueCount="70">
  <si>
    <t xml:space="preserve">Subway Australia — Best Value Food (most food per dollar)</t>
  </si>
  <si>
    <t xml:space="preserve">Ranked by grams of food per dollar. Prices = approx AU menu price (varies by store). Nutrition = Subway AU Nutrition Summary (6-inch; footlong = 2x). Footlong prices estimated at ~1.55x the 6-inch.</t>
  </si>
  <si>
    <t xml:space="preserve">Item</t>
  </si>
  <si>
    <t xml:space="preserve">Category</t>
  </si>
  <si>
    <t xml:space="preserve">Note</t>
  </si>
  <si>
    <t xml:space="preserve">Price ($AUD)</t>
  </si>
  <si>
    <t xml:space="preserve">Serve (g)</t>
  </si>
  <si>
    <t xml:space="preserve">Energy (kJ)</t>
  </si>
  <si>
    <t xml:space="preserve">Energy (Cal)</t>
  </si>
  <si>
    <t xml:space="preserve">Protein (g)</t>
  </si>
  <si>
    <t xml:space="preserve">Grams / $</t>
  </si>
  <si>
    <t xml:space="preserve">kJ / $</t>
  </si>
  <si>
    <t xml:space="preserve">Cal / $</t>
  </si>
  <si>
    <t xml:space="preserve">Protein g / $</t>
  </si>
  <si>
    <t xml:space="preserve">FitChips</t>
  </si>
  <si>
    <t xml:space="preserve">Side</t>
  </si>
  <si>
    <t xml:space="preserve">selected stores</t>
  </si>
  <si>
    <t xml:space="preserve">$8 Footlong Sub of the Day (e.g. BMT)</t>
  </si>
  <si>
    <t xml:space="preserve">Deal</t>
  </si>
  <si>
    <t xml:space="preserve">rotating daily promo</t>
  </si>
  <si>
    <t xml:space="preserve">Pizza Melt</t>
  </si>
  <si>
    <t xml:space="preserve">Footlong Sub</t>
  </si>
  <si>
    <t xml:space="preserve">nutrition = 2x 6-inch</t>
  </si>
  <si>
    <t xml:space="preserve">Meatball Melt</t>
  </si>
  <si>
    <t xml:space="preserve">Veggie Patty</t>
  </si>
  <si>
    <t xml:space="preserve">Meatball Mozza Pot</t>
  </si>
  <si>
    <t xml:space="preserve">with marinara</t>
  </si>
  <si>
    <t xml:space="preserve">Veggie Delite w/ Avo</t>
  </si>
  <si>
    <t xml:space="preserve">Leg Ham</t>
  </si>
  <si>
    <t xml:space="preserve">Chocolate Chip Cookie</t>
  </si>
  <si>
    <t xml:space="preserve">6-Inch Sub</t>
  </si>
  <si>
    <t xml:space="preserve">Chicken &amp; Bacon Ranch Melt</t>
  </si>
  <si>
    <t xml:space="preserve">Seafood Sensation</t>
  </si>
  <si>
    <t xml:space="preserve">Tuna &amp; Mayo</t>
  </si>
  <si>
    <t xml:space="preserve">Chicken Teriyaki</t>
  </si>
  <si>
    <t xml:space="preserve">Buffalo Chicken</t>
  </si>
  <si>
    <t xml:space="preserve">$7 Six-Inch Value (e.g. Leg Ham)</t>
  </si>
  <si>
    <t xml:space="preserve">value-range promo</t>
  </si>
  <si>
    <t xml:space="preserve">Turkey</t>
  </si>
  <si>
    <t xml:space="preserve">Cheesy Garlic Toastie</t>
  </si>
  <si>
    <t xml:space="preserve">on white bread</t>
  </si>
  <si>
    <t xml:space="preserve">Chicken Classic</t>
  </si>
  <si>
    <t xml:space="preserve">Chicken Schnitzel</t>
  </si>
  <si>
    <t xml:space="preserve">Steak Melt</t>
  </si>
  <si>
    <t xml:space="preserve">Italian B.M.T.</t>
  </si>
  <si>
    <t xml:space="preserve">Roast Beef</t>
  </si>
  <si>
    <t xml:space="preserve">Subway Australia — Best Energy Value (kJ per dollar)</t>
  </si>
  <si>
    <t xml:space="preserve">Ranked by kilojoules per dollar.</t>
  </si>
  <si>
    <t xml:space="preserve">Subway Australia — Best Protein Value (protein g per dollar)</t>
  </si>
  <si>
    <t xml:space="preserve">Ranked by grams of protein per dollar. Subway tends to do well here vs other chains.</t>
  </si>
  <si>
    <t xml:space="preserve">Subway Australia — All Items</t>
  </si>
  <si>
    <t xml:space="preserve">Grouped by category. Green column = the headline 'food per dollar' metric.</t>
  </si>
  <si>
    <t xml:space="preserve">Notes &amp; Method</t>
  </si>
  <si>
    <t xml:space="preserve">COUNTRY: Australia, to match the GYG and McDonald's sheets. Say if you want another country.</t>
  </si>
  <si>
    <t xml:space="preserve">NUTRITION (solid): Serve size (g), energy (kJ) and protein (g) are from Subway's official Australia Nutrition Summary.</t>
  </si>
  <si>
    <t xml:space="preserve">Values are for the standard 6-inch sub (white bread + standard salads, no extra cheese/sauce unless the sub includes it).</t>
  </si>
  <si>
    <t xml:space="preserve">Footlong rows use 2x the 6-inch values, per Subway's own note ('Double values for approximate Footlong nutrition').</t>
  </si>
  <si>
    <t xml:space="preserve">Energy (Cal) = kJ / 4.184. Adding cheese, sauces, avo or extra protein increases weight and energy beyond these figures.</t>
  </si>
  <si>
    <t xml:space="preserve">PRICES (caveat): Subway is franchised and prices vary noticeably by store. The 6-inch prices here are representative AU</t>
  </si>
  <si>
    <t xml:space="preserve">menu prices c. 2026; FOOTLONG prices are estimated at ~1.55x the 6-inch (real footlongs are often 1.5-1.7x). Verify in-store/app.</t>
  </si>
  <si>
    <t xml:space="preserve">The best real-world value is the promo pricing: the ~$7 Six-Inch Value Range and the ~$8 Footlong Sub of the Day.</t>
  </si>
  <si>
    <t xml:space="preserve">METRICS:</t>
  </si>
  <si>
    <t xml:space="preserve">Grams / $  = serve size (g) / price  -&gt;  the literal 'most food per dollar' measure (headline, green column).</t>
  </si>
  <si>
    <t xml:space="preserve">kJ / $     = energy (kJ) / price; Protein g / $ = protein (g) / price.</t>
  </si>
  <si>
    <t xml:space="preserve">KEY TAKEAWAYS:</t>
  </si>
  <si>
    <t xml:space="preserve">Footlongs beat 6-inch on every per-dollar metric: 2x the food for only ~1.5x the price. If maximising food/$, go footlong.</t>
  </si>
  <si>
    <t xml:space="preserve">Deal-priced subs win outright - an $8 Sub of the Day footlong is ~430g+ for $8 (~54 g/$).</t>
  </si>
  <si>
    <t xml:space="preserve">For protein per dollar, the meatier footlongs (Chicken &amp; Bacon Ranch, Steak, Chicken Teriyaki/Schnitzel) lead.</t>
  </si>
  <si>
    <t xml:space="preserve">Cookies look efficient on grams/$ and kJ/$ but are sugar, not a meal.</t>
  </si>
  <si>
    <t xml:space="preserve">All value columns are live Excel formulas - edit any price or serve size and the rankings update.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</si>
</sst>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#,##0.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8C1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CD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8C15"/>
        <bgColor rgb="FF008080"/>
      </patternFill>
    </fill>
    <fill>
      <patternFill patternType="solid">
        <fgColor rgb="FFE2F0D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C15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D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6" t="n">
        <v>2.5</v>
      </c>
      <c r="E5" s="7" t="n">
        <v>190</v>
      </c>
      <c r="F5" s="7" t="n">
        <v>1170</v>
      </c>
      <c r="G5" s="8" t="n">
        <f aca="false">F5/4.184</f>
        <v>279.636711281071</v>
      </c>
      <c r="H5" s="7" t="n">
        <v>6.5</v>
      </c>
      <c r="I5" s="9" t="n">
        <f aca="false">E5/D5</f>
        <v>76</v>
      </c>
      <c r="J5" s="8" t="n">
        <f aca="false">F5/D5</f>
        <v>468</v>
      </c>
      <c r="K5" s="8" t="n">
        <f aca="false">G5/D5</f>
        <v>111.854684512428</v>
      </c>
      <c r="L5" s="10" t="n">
        <f aca="false">H5/D5</f>
        <v>2.6</v>
      </c>
    </row>
    <row r="6" customFormat="false" ht="15" hidden="false" customHeight="false" outlineLevel="0" collapsed="false">
      <c r="A6" s="4" t="s">
        <v>17</v>
      </c>
      <c r="B6" s="5" t="s">
        <v>18</v>
      </c>
      <c r="C6" s="5" t="s">
        <v>19</v>
      </c>
      <c r="D6" s="6" t="n">
        <v>8</v>
      </c>
      <c r="E6" s="7" t="n">
        <v>432</v>
      </c>
      <c r="F6" s="7" t="n">
        <v>3140</v>
      </c>
      <c r="G6" s="8" t="n">
        <f aca="false">F6/4.184</f>
        <v>750.478011472275</v>
      </c>
      <c r="H6" s="7" t="n">
        <v>40.4</v>
      </c>
      <c r="I6" s="9" t="n">
        <f aca="false">E6/D6</f>
        <v>54</v>
      </c>
      <c r="J6" s="8" t="n">
        <f aca="false">F6/D6</f>
        <v>392.5</v>
      </c>
      <c r="K6" s="8" t="n">
        <f aca="false">G6/D6</f>
        <v>93.8097514340344</v>
      </c>
      <c r="L6" s="10" t="n">
        <f aca="false">H6/D6</f>
        <v>5.05</v>
      </c>
    </row>
    <row r="7" customFormat="false" ht="15" hidden="false" customHeight="false" outlineLevel="0" collapsed="false">
      <c r="A7" s="4" t="s">
        <v>20</v>
      </c>
      <c r="B7" s="5" t="s">
        <v>21</v>
      </c>
      <c r="C7" s="5" t="s">
        <v>22</v>
      </c>
      <c r="D7" s="6" t="n">
        <v>11.7</v>
      </c>
      <c r="E7" s="7" t="n">
        <v>458</v>
      </c>
      <c r="F7" s="7" t="n">
        <v>3460</v>
      </c>
      <c r="G7" s="8" t="n">
        <f aca="false">F7/4.184</f>
        <v>826.959847036329</v>
      </c>
      <c r="H7" s="7" t="n">
        <v>39.8</v>
      </c>
      <c r="I7" s="9" t="n">
        <f aca="false">E7/D7</f>
        <v>39.1452991452992</v>
      </c>
      <c r="J7" s="8" t="n">
        <f aca="false">F7/D7</f>
        <v>295.726495726496</v>
      </c>
      <c r="K7" s="8" t="n">
        <f aca="false">G7/D7</f>
        <v>70.6803288065238</v>
      </c>
      <c r="L7" s="10" t="n">
        <f aca="false">H7/D7</f>
        <v>3.4017094017094</v>
      </c>
    </row>
    <row r="8" customFormat="false" ht="15" hidden="false" customHeight="false" outlineLevel="0" collapsed="false">
      <c r="A8" s="4" t="s">
        <v>23</v>
      </c>
      <c r="B8" s="5" t="s">
        <v>21</v>
      </c>
      <c r="C8" s="5" t="s">
        <v>22</v>
      </c>
      <c r="D8" s="6" t="n">
        <v>15.3</v>
      </c>
      <c r="E8" s="7" t="n">
        <v>594</v>
      </c>
      <c r="F8" s="7" t="n">
        <v>3840</v>
      </c>
      <c r="G8" s="8" t="n">
        <f aca="false">F8/4.184</f>
        <v>917.782026768642</v>
      </c>
      <c r="H8" s="7" t="n">
        <v>44</v>
      </c>
      <c r="I8" s="9" t="n">
        <f aca="false">E8/D8</f>
        <v>38.8235294117647</v>
      </c>
      <c r="J8" s="8" t="n">
        <f aca="false">F8/D8</f>
        <v>250.980392156863</v>
      </c>
      <c r="K8" s="8" t="n">
        <f aca="false">G8/D8</f>
        <v>59.9857533835714</v>
      </c>
      <c r="L8" s="10" t="n">
        <f aca="false">H8/D8</f>
        <v>2.87581699346405</v>
      </c>
    </row>
    <row r="9" customFormat="false" ht="15" hidden="false" customHeight="false" outlineLevel="0" collapsed="false">
      <c r="A9" s="4" t="s">
        <v>24</v>
      </c>
      <c r="B9" s="5" t="s">
        <v>21</v>
      </c>
      <c r="C9" s="5" t="s">
        <v>22</v>
      </c>
      <c r="D9" s="6" t="n">
        <v>13.2</v>
      </c>
      <c r="E9" s="7" t="n">
        <v>496</v>
      </c>
      <c r="F9" s="7" t="n">
        <v>3380</v>
      </c>
      <c r="G9" s="8" t="n">
        <f aca="false">F9/4.184</f>
        <v>807.839388145315</v>
      </c>
      <c r="H9" s="7" t="n">
        <v>32</v>
      </c>
      <c r="I9" s="9" t="n">
        <f aca="false">E9/D9</f>
        <v>37.5757575757576</v>
      </c>
      <c r="J9" s="8" t="n">
        <f aca="false">F9/D9</f>
        <v>256.060606060606</v>
      </c>
      <c r="K9" s="8" t="n">
        <f aca="false">G9/D9</f>
        <v>61.1999536473724</v>
      </c>
      <c r="L9" s="10" t="n">
        <f aca="false">H9/D9</f>
        <v>2.42424242424242</v>
      </c>
    </row>
    <row r="10" customFormat="false" ht="15" hidden="false" customHeight="false" outlineLevel="0" collapsed="false">
      <c r="A10" s="4" t="s">
        <v>25</v>
      </c>
      <c r="B10" s="5" t="s">
        <v>15</v>
      </c>
      <c r="C10" s="5" t="s">
        <v>26</v>
      </c>
      <c r="D10" s="6" t="n">
        <v>5.5</v>
      </c>
      <c r="E10" s="7" t="n">
        <v>194</v>
      </c>
      <c r="F10" s="7" t="n">
        <v>1350</v>
      </c>
      <c r="G10" s="8" t="n">
        <f aca="false">F10/4.184</f>
        <v>322.657743785851</v>
      </c>
      <c r="H10" s="7" t="n">
        <v>17.5</v>
      </c>
      <c r="I10" s="9" t="n">
        <f aca="false">E10/D10</f>
        <v>35.2727272727273</v>
      </c>
      <c r="J10" s="8" t="n">
        <f aca="false">F10/D10</f>
        <v>245.454545454545</v>
      </c>
      <c r="K10" s="8" t="n">
        <f aca="false">G10/D10</f>
        <v>58.6650443247002</v>
      </c>
      <c r="L10" s="10" t="n">
        <f aca="false">H10/D10</f>
        <v>3.18181818181818</v>
      </c>
    </row>
    <row r="11" customFormat="false" ht="15" hidden="false" customHeight="false" outlineLevel="0" collapsed="false">
      <c r="A11" s="4" t="s">
        <v>27</v>
      </c>
      <c r="B11" s="5" t="s">
        <v>21</v>
      </c>
      <c r="C11" s="5" t="s">
        <v>22</v>
      </c>
      <c r="D11" s="6" t="n">
        <v>11.6</v>
      </c>
      <c r="E11" s="7" t="n">
        <v>386</v>
      </c>
      <c r="F11" s="7" t="n">
        <v>2260</v>
      </c>
      <c r="G11" s="8" t="n">
        <f aca="false">F11/4.184</f>
        <v>540.152963671128</v>
      </c>
      <c r="H11" s="7" t="n">
        <v>19</v>
      </c>
      <c r="I11" s="9" t="n">
        <f aca="false">E11/D11</f>
        <v>33.2758620689655</v>
      </c>
      <c r="J11" s="8" t="n">
        <f aca="false">F11/D11</f>
        <v>194.827586206897</v>
      </c>
      <c r="K11" s="8" t="n">
        <f aca="false">G11/D11</f>
        <v>46.5649106613042</v>
      </c>
      <c r="L11" s="10" t="n">
        <f aca="false">H11/D11</f>
        <v>1.63793103448276</v>
      </c>
    </row>
    <row r="12" customFormat="false" ht="15" hidden="false" customHeight="false" outlineLevel="0" collapsed="false">
      <c r="A12" s="4" t="s">
        <v>28</v>
      </c>
      <c r="B12" s="5" t="s">
        <v>21</v>
      </c>
      <c r="C12" s="5" t="s">
        <v>22</v>
      </c>
      <c r="D12" s="6" t="n">
        <v>12.4</v>
      </c>
      <c r="E12" s="7" t="n">
        <v>402</v>
      </c>
      <c r="F12" s="7" t="n">
        <v>2140</v>
      </c>
      <c r="G12" s="8" t="n">
        <f aca="false">F12/4.184</f>
        <v>511.472275334608</v>
      </c>
      <c r="H12" s="7" t="n">
        <v>31</v>
      </c>
      <c r="I12" s="9" t="n">
        <f aca="false">E12/D12</f>
        <v>32.4193548387097</v>
      </c>
      <c r="J12" s="8" t="n">
        <f aca="false">F12/D12</f>
        <v>172.58064516129</v>
      </c>
      <c r="K12" s="8" t="n">
        <f aca="false">G12/D12</f>
        <v>41.2477641398877</v>
      </c>
      <c r="L12" s="10" t="n">
        <f aca="false">H12/D12</f>
        <v>2.5</v>
      </c>
    </row>
    <row r="13" customFormat="false" ht="15" hidden="false" customHeight="false" outlineLevel="0" collapsed="false">
      <c r="A13" s="4" t="s">
        <v>29</v>
      </c>
      <c r="B13" s="5" t="s">
        <v>15</v>
      </c>
      <c r="C13" s="5"/>
      <c r="D13" s="6" t="n">
        <v>1.4</v>
      </c>
      <c r="E13" s="7" t="n">
        <v>45</v>
      </c>
      <c r="F13" s="7" t="n">
        <v>955</v>
      </c>
      <c r="G13" s="8" t="n">
        <f aca="false">F13/4.184</f>
        <v>228.250478011472</v>
      </c>
      <c r="H13" s="7" t="n">
        <v>2.1</v>
      </c>
      <c r="I13" s="9" t="n">
        <f aca="false">E13/D13</f>
        <v>32.1428571428571</v>
      </c>
      <c r="J13" s="8" t="n">
        <f aca="false">F13/D13</f>
        <v>682.142857142857</v>
      </c>
      <c r="K13" s="8" t="n">
        <f aca="false">G13/D13</f>
        <v>163.03605572248</v>
      </c>
      <c r="L13" s="10" t="n">
        <f aca="false">H13/D13</f>
        <v>1.5</v>
      </c>
    </row>
    <row r="14" customFormat="false" ht="15" hidden="false" customHeight="false" outlineLevel="0" collapsed="false">
      <c r="A14" s="4" t="s">
        <v>20</v>
      </c>
      <c r="B14" s="5" t="s">
        <v>30</v>
      </c>
      <c r="C14" s="5"/>
      <c r="D14" s="6" t="n">
        <v>7.55</v>
      </c>
      <c r="E14" s="7" t="n">
        <v>229</v>
      </c>
      <c r="F14" s="7" t="n">
        <v>1730</v>
      </c>
      <c r="G14" s="8" t="n">
        <f aca="false">F14/4.184</f>
        <v>413.479923518164</v>
      </c>
      <c r="H14" s="7" t="n">
        <v>19.9</v>
      </c>
      <c r="I14" s="9" t="n">
        <f aca="false">E14/D14</f>
        <v>30.3311258278146</v>
      </c>
      <c r="J14" s="8" t="n">
        <f aca="false">F14/D14</f>
        <v>229.139072847682</v>
      </c>
      <c r="K14" s="8" t="n">
        <f aca="false">G14/D14</f>
        <v>54.7655527838628</v>
      </c>
      <c r="L14" s="10" t="n">
        <f aca="false">H14/D14</f>
        <v>2.63576158940397</v>
      </c>
    </row>
    <row r="15" customFormat="false" ht="15" hidden="false" customHeight="false" outlineLevel="0" collapsed="false">
      <c r="A15" s="4" t="s">
        <v>31</v>
      </c>
      <c r="B15" s="5" t="s">
        <v>21</v>
      </c>
      <c r="C15" s="5" t="s">
        <v>22</v>
      </c>
      <c r="D15" s="6" t="n">
        <v>18.4</v>
      </c>
      <c r="E15" s="7" t="n">
        <v>554</v>
      </c>
      <c r="F15" s="7" t="n">
        <v>3680</v>
      </c>
      <c r="G15" s="8" t="n">
        <f aca="false">F15/4.184</f>
        <v>879.541108986616</v>
      </c>
      <c r="H15" s="7" t="n">
        <v>58</v>
      </c>
      <c r="I15" s="9" t="n">
        <f aca="false">E15/D15</f>
        <v>30.1086956521739</v>
      </c>
      <c r="J15" s="8" t="n">
        <f aca="false">F15/D15</f>
        <v>200</v>
      </c>
      <c r="K15" s="8" t="n">
        <f aca="false">G15/D15</f>
        <v>47.8011472275335</v>
      </c>
      <c r="L15" s="10" t="n">
        <f aca="false">H15/D15</f>
        <v>3.15217391304348</v>
      </c>
    </row>
    <row r="16" customFormat="false" ht="15" hidden="false" customHeight="false" outlineLevel="0" collapsed="false">
      <c r="A16" s="4" t="s">
        <v>23</v>
      </c>
      <c r="B16" s="5" t="s">
        <v>30</v>
      </c>
      <c r="C16" s="5"/>
      <c r="D16" s="6" t="n">
        <v>9.9</v>
      </c>
      <c r="E16" s="7" t="n">
        <v>297</v>
      </c>
      <c r="F16" s="7" t="n">
        <v>1920</v>
      </c>
      <c r="G16" s="8" t="n">
        <f aca="false">F16/4.184</f>
        <v>458.891013384321</v>
      </c>
      <c r="H16" s="7" t="n">
        <v>22</v>
      </c>
      <c r="I16" s="9" t="n">
        <f aca="false">E16/D16</f>
        <v>30</v>
      </c>
      <c r="J16" s="8" t="n">
        <f aca="false">F16/D16</f>
        <v>193.939393939394</v>
      </c>
      <c r="K16" s="8" t="n">
        <f aca="false">G16/D16</f>
        <v>46.3526276145779</v>
      </c>
      <c r="L16" s="10" t="n">
        <f aca="false">H16/D16</f>
        <v>2.22222222222222</v>
      </c>
    </row>
    <row r="17" customFormat="false" ht="15" hidden="false" customHeight="false" outlineLevel="0" collapsed="false">
      <c r="A17" s="4" t="s">
        <v>32</v>
      </c>
      <c r="B17" s="5" t="s">
        <v>21</v>
      </c>
      <c r="C17" s="5" t="s">
        <v>22</v>
      </c>
      <c r="D17" s="6" t="n">
        <v>15.3</v>
      </c>
      <c r="E17" s="7" t="n">
        <v>458</v>
      </c>
      <c r="F17" s="7" t="n">
        <v>2840</v>
      </c>
      <c r="G17" s="8" t="n">
        <f aca="false">F17/4.184</f>
        <v>678.776290630975</v>
      </c>
      <c r="H17" s="7" t="n">
        <v>22.8</v>
      </c>
      <c r="I17" s="9" t="n">
        <f aca="false">E17/D17</f>
        <v>29.9346405228758</v>
      </c>
      <c r="J17" s="8" t="n">
        <f aca="false">F17/D17</f>
        <v>185.62091503268</v>
      </c>
      <c r="K17" s="8" t="n">
        <f aca="false">G17/D17</f>
        <v>44.364463439933</v>
      </c>
      <c r="L17" s="10" t="n">
        <f aca="false">H17/D17</f>
        <v>1.49019607843137</v>
      </c>
    </row>
    <row r="18" customFormat="false" ht="15" hidden="false" customHeight="false" outlineLevel="0" collapsed="false">
      <c r="A18" s="4" t="s">
        <v>24</v>
      </c>
      <c r="B18" s="5" t="s">
        <v>30</v>
      </c>
      <c r="C18" s="5"/>
      <c r="D18" s="6" t="n">
        <v>8.5</v>
      </c>
      <c r="E18" s="7" t="n">
        <v>248</v>
      </c>
      <c r="F18" s="7" t="n">
        <v>1690</v>
      </c>
      <c r="G18" s="8" t="n">
        <f aca="false">F18/4.184</f>
        <v>403.919694072658</v>
      </c>
      <c r="H18" s="7" t="n">
        <v>16</v>
      </c>
      <c r="I18" s="9" t="n">
        <f aca="false">E18/D18</f>
        <v>29.1764705882353</v>
      </c>
      <c r="J18" s="8" t="n">
        <f aca="false">F18/D18</f>
        <v>198.823529411765</v>
      </c>
      <c r="K18" s="8" t="n">
        <f aca="false">G18/D18</f>
        <v>47.519964008548</v>
      </c>
      <c r="L18" s="10" t="n">
        <f aca="false">H18/D18</f>
        <v>1.88235294117647</v>
      </c>
    </row>
    <row r="19" customFormat="false" ht="15" hidden="false" customHeight="false" outlineLevel="0" collapsed="false">
      <c r="A19" s="4" t="s">
        <v>33</v>
      </c>
      <c r="B19" s="5" t="s">
        <v>21</v>
      </c>
      <c r="C19" s="5" t="s">
        <v>22</v>
      </c>
      <c r="D19" s="6" t="n">
        <v>15.3</v>
      </c>
      <c r="E19" s="7" t="n">
        <v>444</v>
      </c>
      <c r="F19" s="7" t="n">
        <v>2720</v>
      </c>
      <c r="G19" s="8" t="n">
        <f aca="false">F19/4.184</f>
        <v>650.095602294455</v>
      </c>
      <c r="H19" s="7" t="n">
        <v>37.2</v>
      </c>
      <c r="I19" s="9" t="n">
        <f aca="false">E19/D19</f>
        <v>29.0196078431373</v>
      </c>
      <c r="J19" s="8" t="n">
        <f aca="false">F19/D19</f>
        <v>177.777777777778</v>
      </c>
      <c r="K19" s="8" t="n">
        <f aca="false">G19/D19</f>
        <v>42.4899086466964</v>
      </c>
      <c r="L19" s="10" t="n">
        <f aca="false">H19/D19</f>
        <v>2.43137254901961</v>
      </c>
    </row>
    <row r="20" customFormat="false" ht="15" hidden="false" customHeight="false" outlineLevel="0" collapsed="false">
      <c r="A20" s="4" t="s">
        <v>34</v>
      </c>
      <c r="B20" s="5" t="s">
        <v>21</v>
      </c>
      <c r="C20" s="5" t="s">
        <v>22</v>
      </c>
      <c r="D20" s="6" t="n">
        <v>16.9</v>
      </c>
      <c r="E20" s="7" t="n">
        <v>486</v>
      </c>
      <c r="F20" s="7" t="n">
        <v>2600</v>
      </c>
      <c r="G20" s="8" t="n">
        <f aca="false">F20/4.184</f>
        <v>621.414913957935</v>
      </c>
      <c r="H20" s="7" t="n">
        <v>45.6</v>
      </c>
      <c r="I20" s="9" t="n">
        <f aca="false">E20/D20</f>
        <v>28.7573964497041</v>
      </c>
      <c r="J20" s="8" t="n">
        <f aca="false">F20/D20</f>
        <v>153.846153846154</v>
      </c>
      <c r="K20" s="8" t="n">
        <f aca="false">G20/D20</f>
        <v>36.7701132519488</v>
      </c>
      <c r="L20" s="10" t="n">
        <f aca="false">H20/D20</f>
        <v>2.69822485207101</v>
      </c>
    </row>
    <row r="21" customFormat="false" ht="15" hidden="false" customHeight="false" outlineLevel="0" collapsed="false">
      <c r="A21" s="4" t="s">
        <v>35</v>
      </c>
      <c r="B21" s="5" t="s">
        <v>21</v>
      </c>
      <c r="C21" s="5" t="s">
        <v>22</v>
      </c>
      <c r="D21" s="6" t="n">
        <v>16.9</v>
      </c>
      <c r="E21" s="7" t="n">
        <v>486</v>
      </c>
      <c r="F21" s="7" t="n">
        <v>2480</v>
      </c>
      <c r="G21" s="8" t="n">
        <f aca="false">F21/4.184</f>
        <v>592.734225621415</v>
      </c>
      <c r="H21" s="7" t="n">
        <v>46.2</v>
      </c>
      <c r="I21" s="9" t="n">
        <f aca="false">E21/D21</f>
        <v>28.7573964497041</v>
      </c>
      <c r="J21" s="8" t="n">
        <f aca="false">F21/D21</f>
        <v>146.745562130178</v>
      </c>
      <c r="K21" s="8" t="n">
        <f aca="false">G21/D21</f>
        <v>35.0730311018589</v>
      </c>
      <c r="L21" s="10" t="n">
        <f aca="false">H21/D21</f>
        <v>2.73372781065089</v>
      </c>
    </row>
    <row r="22" customFormat="false" ht="15" hidden="false" customHeight="false" outlineLevel="0" collapsed="false">
      <c r="A22" s="4" t="s">
        <v>36</v>
      </c>
      <c r="B22" s="5" t="s">
        <v>18</v>
      </c>
      <c r="C22" s="5" t="s">
        <v>37</v>
      </c>
      <c r="D22" s="6" t="n">
        <v>7</v>
      </c>
      <c r="E22" s="7" t="n">
        <v>201</v>
      </c>
      <c r="F22" s="7" t="n">
        <v>1070</v>
      </c>
      <c r="G22" s="8" t="n">
        <f aca="false">F22/4.184</f>
        <v>255.736137667304</v>
      </c>
      <c r="H22" s="7" t="n">
        <v>15.5</v>
      </c>
      <c r="I22" s="9" t="n">
        <f aca="false">E22/D22</f>
        <v>28.7142857142857</v>
      </c>
      <c r="J22" s="8" t="n">
        <f aca="false">F22/D22</f>
        <v>152.857142857143</v>
      </c>
      <c r="K22" s="8" t="n">
        <f aca="false">G22/D22</f>
        <v>36.533733952472</v>
      </c>
      <c r="L22" s="10" t="n">
        <f aca="false">H22/D22</f>
        <v>2.21428571428571</v>
      </c>
    </row>
    <row r="23" customFormat="false" ht="15" hidden="false" customHeight="false" outlineLevel="0" collapsed="false">
      <c r="A23" s="4" t="s">
        <v>38</v>
      </c>
      <c r="B23" s="5" t="s">
        <v>21</v>
      </c>
      <c r="C23" s="5" t="s">
        <v>22</v>
      </c>
      <c r="D23" s="6" t="n">
        <v>14.7</v>
      </c>
      <c r="E23" s="7" t="n">
        <v>420</v>
      </c>
      <c r="F23" s="7" t="n">
        <v>2200</v>
      </c>
      <c r="G23" s="8" t="n">
        <f aca="false">F23/4.184</f>
        <v>525.812619502868</v>
      </c>
      <c r="H23" s="7" t="n">
        <v>34.4</v>
      </c>
      <c r="I23" s="9" t="n">
        <f aca="false">E23/D23</f>
        <v>28.5714285714286</v>
      </c>
      <c r="J23" s="8" t="n">
        <f aca="false">F23/D23</f>
        <v>149.659863945578</v>
      </c>
      <c r="K23" s="8" t="n">
        <f aca="false">G23/D23</f>
        <v>35.7695659525761</v>
      </c>
      <c r="L23" s="10" t="n">
        <f aca="false">H23/D23</f>
        <v>2.34013605442177</v>
      </c>
    </row>
    <row r="24" customFormat="false" ht="15" hidden="false" customHeight="false" outlineLevel="0" collapsed="false">
      <c r="A24" s="4" t="s">
        <v>39</v>
      </c>
      <c r="B24" s="5" t="s">
        <v>15</v>
      </c>
      <c r="C24" s="5" t="s">
        <v>40</v>
      </c>
      <c r="D24" s="6" t="n">
        <v>4.5</v>
      </c>
      <c r="E24" s="7" t="n">
        <v>123</v>
      </c>
      <c r="F24" s="7" t="n">
        <v>1540</v>
      </c>
      <c r="G24" s="8" t="n">
        <f aca="false">F24/4.184</f>
        <v>368.068833652008</v>
      </c>
      <c r="H24" s="7" t="n">
        <v>14.5</v>
      </c>
      <c r="I24" s="9" t="n">
        <f aca="false">E24/D24</f>
        <v>27.3333333333333</v>
      </c>
      <c r="J24" s="8" t="n">
        <f aca="false">F24/D24</f>
        <v>342.222222222222</v>
      </c>
      <c r="K24" s="8" t="n">
        <f aca="false">G24/D24</f>
        <v>81.7930741448906</v>
      </c>
      <c r="L24" s="10" t="n">
        <f aca="false">H24/D24</f>
        <v>3.22222222222222</v>
      </c>
    </row>
    <row r="25" customFormat="false" ht="15" hidden="false" customHeight="false" outlineLevel="0" collapsed="false">
      <c r="A25" s="4" t="s">
        <v>41</v>
      </c>
      <c r="B25" s="5" t="s">
        <v>21</v>
      </c>
      <c r="C25" s="5" t="s">
        <v>22</v>
      </c>
      <c r="D25" s="6" t="n">
        <v>16.3</v>
      </c>
      <c r="E25" s="7" t="n">
        <v>436</v>
      </c>
      <c r="F25" s="7" t="n">
        <v>2920</v>
      </c>
      <c r="G25" s="8" t="n">
        <f aca="false">F25/4.184</f>
        <v>697.896749521989</v>
      </c>
      <c r="H25" s="7" t="n">
        <v>36</v>
      </c>
      <c r="I25" s="9" t="n">
        <f aca="false">E25/D25</f>
        <v>26.7484662576687</v>
      </c>
      <c r="J25" s="8" t="n">
        <f aca="false">F25/D25</f>
        <v>179.141104294479</v>
      </c>
      <c r="K25" s="8" t="n">
        <f aca="false">G25/D25</f>
        <v>42.8157515044165</v>
      </c>
      <c r="L25" s="10" t="n">
        <f aca="false">H25/D25</f>
        <v>2.20858895705521</v>
      </c>
    </row>
    <row r="26" customFormat="false" ht="15" hidden="false" customHeight="false" outlineLevel="0" collapsed="false">
      <c r="A26" s="4" t="s">
        <v>42</v>
      </c>
      <c r="B26" s="5" t="s">
        <v>21</v>
      </c>
      <c r="C26" s="5" t="s">
        <v>22</v>
      </c>
      <c r="D26" s="6" t="n">
        <v>18.4</v>
      </c>
      <c r="E26" s="7" t="n">
        <v>490</v>
      </c>
      <c r="F26" s="7" t="n">
        <v>3300</v>
      </c>
      <c r="G26" s="8" t="n">
        <f aca="false">F26/4.184</f>
        <v>788.718929254302</v>
      </c>
      <c r="H26" s="7" t="n">
        <v>51.2</v>
      </c>
      <c r="I26" s="9" t="n">
        <f aca="false">E26/D26</f>
        <v>26.6304347826087</v>
      </c>
      <c r="J26" s="8" t="n">
        <f aca="false">F26/D26</f>
        <v>179.347826086957</v>
      </c>
      <c r="K26" s="8" t="n">
        <f aca="false">G26/D26</f>
        <v>42.8651591986034</v>
      </c>
      <c r="L26" s="10" t="n">
        <f aca="false">H26/D26</f>
        <v>2.78260869565217</v>
      </c>
    </row>
    <row r="27" customFormat="false" ht="15" hidden="false" customHeight="false" outlineLevel="0" collapsed="false">
      <c r="A27" s="4" t="s">
        <v>27</v>
      </c>
      <c r="B27" s="5" t="s">
        <v>30</v>
      </c>
      <c r="C27" s="5"/>
      <c r="D27" s="6" t="n">
        <v>7.5</v>
      </c>
      <c r="E27" s="7" t="n">
        <v>193</v>
      </c>
      <c r="F27" s="7" t="n">
        <v>1130</v>
      </c>
      <c r="G27" s="8" t="n">
        <f aca="false">F27/4.184</f>
        <v>270.076481835564</v>
      </c>
      <c r="H27" s="7" t="n">
        <v>9.5</v>
      </c>
      <c r="I27" s="9" t="n">
        <f aca="false">E27/D27</f>
        <v>25.7333333333333</v>
      </c>
      <c r="J27" s="8" t="n">
        <f aca="false">F27/D27</f>
        <v>150.666666666667</v>
      </c>
      <c r="K27" s="8" t="n">
        <f aca="false">G27/D27</f>
        <v>36.0101975780752</v>
      </c>
      <c r="L27" s="10" t="n">
        <f aca="false">H27/D27</f>
        <v>1.26666666666667</v>
      </c>
    </row>
    <row r="28" customFormat="false" ht="15" hidden="false" customHeight="false" outlineLevel="0" collapsed="false">
      <c r="A28" s="4" t="s">
        <v>43</v>
      </c>
      <c r="B28" s="5" t="s">
        <v>21</v>
      </c>
      <c r="C28" s="5" t="s">
        <v>22</v>
      </c>
      <c r="D28" s="6" t="n">
        <v>18.4</v>
      </c>
      <c r="E28" s="7" t="n">
        <v>472</v>
      </c>
      <c r="F28" s="7" t="n">
        <v>3040</v>
      </c>
      <c r="G28" s="8" t="n">
        <f aca="false">F28/4.184</f>
        <v>726.577437858509</v>
      </c>
      <c r="H28" s="7" t="n">
        <v>48.2</v>
      </c>
      <c r="I28" s="9" t="n">
        <f aca="false">E28/D28</f>
        <v>25.6521739130435</v>
      </c>
      <c r="J28" s="8" t="n">
        <f aca="false">F28/D28</f>
        <v>165.217391304348</v>
      </c>
      <c r="K28" s="8" t="n">
        <f aca="false">G28/D28</f>
        <v>39.4879042314407</v>
      </c>
      <c r="L28" s="10" t="n">
        <f aca="false">H28/D28</f>
        <v>2.6195652173913</v>
      </c>
    </row>
    <row r="29" customFormat="false" ht="15" hidden="false" customHeight="false" outlineLevel="0" collapsed="false">
      <c r="A29" s="4" t="s">
        <v>44</v>
      </c>
      <c r="B29" s="5" t="s">
        <v>21</v>
      </c>
      <c r="C29" s="5" t="s">
        <v>22</v>
      </c>
      <c r="D29" s="6" t="n">
        <v>16.9</v>
      </c>
      <c r="E29" s="7" t="n">
        <v>432</v>
      </c>
      <c r="F29" s="7" t="n">
        <v>3140</v>
      </c>
      <c r="G29" s="8" t="n">
        <f aca="false">F29/4.184</f>
        <v>750.478011472275</v>
      </c>
      <c r="H29" s="7" t="n">
        <v>40.4</v>
      </c>
      <c r="I29" s="9" t="n">
        <f aca="false">E29/D29</f>
        <v>25.5621301775148</v>
      </c>
      <c r="J29" s="8" t="n">
        <f aca="false">F29/D29</f>
        <v>185.798816568047</v>
      </c>
      <c r="K29" s="8" t="n">
        <f aca="false">G29/D29</f>
        <v>44.4069829273536</v>
      </c>
      <c r="L29" s="10" t="n">
        <f aca="false">H29/D29</f>
        <v>2.3905325443787</v>
      </c>
    </row>
    <row r="30" customFormat="false" ht="15" hidden="false" customHeight="false" outlineLevel="0" collapsed="false">
      <c r="A30" s="4" t="s">
        <v>45</v>
      </c>
      <c r="B30" s="5" t="s">
        <v>21</v>
      </c>
      <c r="C30" s="5" t="s">
        <v>22</v>
      </c>
      <c r="D30" s="6" t="n">
        <v>16.3</v>
      </c>
      <c r="E30" s="7" t="n">
        <v>412</v>
      </c>
      <c r="F30" s="7" t="n">
        <v>2240</v>
      </c>
      <c r="G30" s="8" t="n">
        <f aca="false">F30/4.184</f>
        <v>535.372848948375</v>
      </c>
      <c r="H30" s="7" t="n">
        <v>33.2</v>
      </c>
      <c r="I30" s="9" t="n">
        <f aca="false">E30/D30</f>
        <v>25.2760736196319</v>
      </c>
      <c r="J30" s="8" t="n">
        <f aca="false">F30/D30</f>
        <v>137.423312883436</v>
      </c>
      <c r="K30" s="8" t="n">
        <f aca="false">G30/D30</f>
        <v>32.8449600581825</v>
      </c>
      <c r="L30" s="10" t="n">
        <f aca="false">H30/D30</f>
        <v>2.03680981595092</v>
      </c>
    </row>
    <row r="31" customFormat="false" ht="15" hidden="false" customHeight="false" outlineLevel="0" collapsed="false">
      <c r="A31" s="4" t="s">
        <v>28</v>
      </c>
      <c r="B31" s="5" t="s">
        <v>30</v>
      </c>
      <c r="C31" s="5"/>
      <c r="D31" s="6" t="n">
        <v>8</v>
      </c>
      <c r="E31" s="7" t="n">
        <v>201</v>
      </c>
      <c r="F31" s="7" t="n">
        <v>1070</v>
      </c>
      <c r="G31" s="8" t="n">
        <f aca="false">F31/4.184</f>
        <v>255.736137667304</v>
      </c>
      <c r="H31" s="7" t="n">
        <v>15.5</v>
      </c>
      <c r="I31" s="9" t="n">
        <f aca="false">E31/D31</f>
        <v>25.125</v>
      </c>
      <c r="J31" s="8" t="n">
        <f aca="false">F31/D31</f>
        <v>133.75</v>
      </c>
      <c r="K31" s="8" t="n">
        <f aca="false">G31/D31</f>
        <v>31.967017208413</v>
      </c>
      <c r="L31" s="10" t="n">
        <f aca="false">H31/D31</f>
        <v>1.9375</v>
      </c>
    </row>
    <row r="32" customFormat="false" ht="15" hidden="false" customHeight="false" outlineLevel="0" collapsed="false">
      <c r="A32" s="4" t="s">
        <v>31</v>
      </c>
      <c r="B32" s="5" t="s">
        <v>30</v>
      </c>
      <c r="C32" s="5"/>
      <c r="D32" s="6" t="n">
        <v>11.9</v>
      </c>
      <c r="E32" s="7" t="n">
        <v>277</v>
      </c>
      <c r="F32" s="7" t="n">
        <v>1840</v>
      </c>
      <c r="G32" s="8" t="n">
        <f aca="false">F32/4.184</f>
        <v>439.770554493308</v>
      </c>
      <c r="H32" s="7" t="n">
        <v>29</v>
      </c>
      <c r="I32" s="9" t="n">
        <f aca="false">E32/D32</f>
        <v>23.2773109243697</v>
      </c>
      <c r="J32" s="8" t="n">
        <f aca="false">F32/D32</f>
        <v>154.621848739496</v>
      </c>
      <c r="K32" s="8" t="n">
        <f aca="false">G32/D32</f>
        <v>36.9555087809502</v>
      </c>
      <c r="L32" s="10" t="n">
        <f aca="false">H32/D32</f>
        <v>2.43697478991597</v>
      </c>
    </row>
    <row r="33" customFormat="false" ht="15" hidden="false" customHeight="false" outlineLevel="0" collapsed="false">
      <c r="A33" s="4" t="s">
        <v>32</v>
      </c>
      <c r="B33" s="5" t="s">
        <v>30</v>
      </c>
      <c r="C33" s="5"/>
      <c r="D33" s="6" t="n">
        <v>9.9</v>
      </c>
      <c r="E33" s="7" t="n">
        <v>229</v>
      </c>
      <c r="F33" s="7" t="n">
        <v>1420</v>
      </c>
      <c r="G33" s="8" t="n">
        <f aca="false">F33/4.184</f>
        <v>339.388145315488</v>
      </c>
      <c r="H33" s="7" t="n">
        <v>11.4</v>
      </c>
      <c r="I33" s="9" t="n">
        <f aca="false">E33/D33</f>
        <v>23.1313131313131</v>
      </c>
      <c r="J33" s="8" t="n">
        <f aca="false">F33/D33</f>
        <v>143.434343434343</v>
      </c>
      <c r="K33" s="8" t="n">
        <f aca="false">G33/D33</f>
        <v>34.2816308399482</v>
      </c>
      <c r="L33" s="10" t="n">
        <f aca="false">H33/D33</f>
        <v>1.15151515151515</v>
      </c>
    </row>
    <row r="34" customFormat="false" ht="15" hidden="false" customHeight="false" outlineLevel="0" collapsed="false">
      <c r="A34" s="4" t="s">
        <v>33</v>
      </c>
      <c r="B34" s="5" t="s">
        <v>30</v>
      </c>
      <c r="C34" s="5"/>
      <c r="D34" s="6" t="n">
        <v>9.9</v>
      </c>
      <c r="E34" s="7" t="n">
        <v>222</v>
      </c>
      <c r="F34" s="7" t="n">
        <v>1360</v>
      </c>
      <c r="G34" s="8" t="n">
        <f aca="false">F34/4.184</f>
        <v>325.047801147228</v>
      </c>
      <c r="H34" s="7" t="n">
        <v>18.6</v>
      </c>
      <c r="I34" s="9" t="n">
        <f aca="false">E34/D34</f>
        <v>22.4242424242424</v>
      </c>
      <c r="J34" s="8" t="n">
        <f aca="false">F34/D34</f>
        <v>137.373737373737</v>
      </c>
      <c r="K34" s="8" t="n">
        <f aca="false">G34/D34</f>
        <v>32.8331112269927</v>
      </c>
      <c r="L34" s="10" t="n">
        <f aca="false">H34/D34</f>
        <v>1.87878787878788</v>
      </c>
    </row>
    <row r="35" customFormat="false" ht="15" hidden="false" customHeight="false" outlineLevel="0" collapsed="false">
      <c r="A35" s="4" t="s">
        <v>34</v>
      </c>
      <c r="B35" s="5" t="s">
        <v>30</v>
      </c>
      <c r="C35" s="5"/>
      <c r="D35" s="6" t="n">
        <v>10.9</v>
      </c>
      <c r="E35" s="7" t="n">
        <v>243</v>
      </c>
      <c r="F35" s="7" t="n">
        <v>1300</v>
      </c>
      <c r="G35" s="8" t="n">
        <f aca="false">F35/4.184</f>
        <v>310.707456978967</v>
      </c>
      <c r="H35" s="7" t="n">
        <v>22.8</v>
      </c>
      <c r="I35" s="9" t="n">
        <f aca="false">E35/D35</f>
        <v>22.2935779816514</v>
      </c>
      <c r="J35" s="8" t="n">
        <f aca="false">F35/D35</f>
        <v>119.266055045872</v>
      </c>
      <c r="K35" s="8" t="n">
        <f aca="false">G35/D35</f>
        <v>28.5052712824741</v>
      </c>
      <c r="L35" s="10" t="n">
        <f aca="false">H35/D35</f>
        <v>2.09174311926606</v>
      </c>
    </row>
    <row r="36" customFormat="false" ht="15" hidden="false" customHeight="false" outlineLevel="0" collapsed="false">
      <c r="A36" s="4" t="s">
        <v>35</v>
      </c>
      <c r="B36" s="5" t="s">
        <v>30</v>
      </c>
      <c r="C36" s="5"/>
      <c r="D36" s="6" t="n">
        <v>10.9</v>
      </c>
      <c r="E36" s="7" t="n">
        <v>243</v>
      </c>
      <c r="F36" s="7" t="n">
        <v>1240</v>
      </c>
      <c r="G36" s="8" t="n">
        <f aca="false">F36/4.184</f>
        <v>296.367112810707</v>
      </c>
      <c r="H36" s="7" t="n">
        <v>23.1</v>
      </c>
      <c r="I36" s="9" t="n">
        <f aca="false">E36/D36</f>
        <v>22.2935779816514</v>
      </c>
      <c r="J36" s="8" t="n">
        <f aca="false">F36/D36</f>
        <v>113.761467889908</v>
      </c>
      <c r="K36" s="8" t="n">
        <f aca="false">G36/D36</f>
        <v>27.1896433771291</v>
      </c>
      <c r="L36" s="10" t="n">
        <f aca="false">H36/D36</f>
        <v>2.11926605504587</v>
      </c>
    </row>
    <row r="37" customFormat="false" ht="15" hidden="false" customHeight="false" outlineLevel="0" collapsed="false">
      <c r="A37" s="4" t="s">
        <v>38</v>
      </c>
      <c r="B37" s="5" t="s">
        <v>30</v>
      </c>
      <c r="C37" s="5"/>
      <c r="D37" s="6" t="n">
        <v>9.5</v>
      </c>
      <c r="E37" s="7" t="n">
        <v>210</v>
      </c>
      <c r="F37" s="7" t="n">
        <v>1100</v>
      </c>
      <c r="G37" s="8" t="n">
        <f aca="false">F37/4.184</f>
        <v>262.906309751434</v>
      </c>
      <c r="H37" s="7" t="n">
        <v>17.2</v>
      </c>
      <c r="I37" s="9" t="n">
        <f aca="false">E37/D37</f>
        <v>22.1052631578947</v>
      </c>
      <c r="J37" s="8" t="n">
        <f aca="false">F37/D37</f>
        <v>115.789473684211</v>
      </c>
      <c r="K37" s="8" t="n">
        <f aca="false">G37/D37</f>
        <v>27.6743483948878</v>
      </c>
      <c r="L37" s="10" t="n">
        <f aca="false">H37/D37</f>
        <v>1.81052631578947</v>
      </c>
    </row>
    <row r="38" customFormat="false" ht="15" hidden="false" customHeight="false" outlineLevel="0" collapsed="false">
      <c r="A38" s="4" t="s">
        <v>41</v>
      </c>
      <c r="B38" s="5" t="s">
        <v>30</v>
      </c>
      <c r="C38" s="5"/>
      <c r="D38" s="6" t="n">
        <v>10.5</v>
      </c>
      <c r="E38" s="7" t="n">
        <v>218</v>
      </c>
      <c r="F38" s="7" t="n">
        <v>1460</v>
      </c>
      <c r="G38" s="8" t="n">
        <f aca="false">F38/4.184</f>
        <v>348.948374760994</v>
      </c>
      <c r="H38" s="7" t="n">
        <v>18</v>
      </c>
      <c r="I38" s="9" t="n">
        <f aca="false">E38/D38</f>
        <v>20.7619047619048</v>
      </c>
      <c r="J38" s="8" t="n">
        <f aca="false">F38/D38</f>
        <v>139.047619047619</v>
      </c>
      <c r="K38" s="8" t="n">
        <f aca="false">G38/D38</f>
        <v>33.2331785486661</v>
      </c>
      <c r="L38" s="10" t="n">
        <f aca="false">H38/D38</f>
        <v>1.71428571428571</v>
      </c>
    </row>
    <row r="39" customFormat="false" ht="15" hidden="false" customHeight="false" outlineLevel="0" collapsed="false">
      <c r="A39" s="4" t="s">
        <v>42</v>
      </c>
      <c r="B39" s="5" t="s">
        <v>30</v>
      </c>
      <c r="C39" s="5"/>
      <c r="D39" s="6" t="n">
        <v>11.9</v>
      </c>
      <c r="E39" s="7" t="n">
        <v>245</v>
      </c>
      <c r="F39" s="7" t="n">
        <v>1650</v>
      </c>
      <c r="G39" s="8" t="n">
        <f aca="false">F39/4.184</f>
        <v>394.359464627151</v>
      </c>
      <c r="H39" s="7" t="n">
        <v>25.6</v>
      </c>
      <c r="I39" s="9" t="n">
        <f aca="false">E39/D39</f>
        <v>20.5882352941176</v>
      </c>
      <c r="J39" s="8" t="n">
        <f aca="false">F39/D39</f>
        <v>138.655462184874</v>
      </c>
      <c r="K39" s="8" t="n">
        <f aca="false">G39/D39</f>
        <v>33.1394508090043</v>
      </c>
      <c r="L39" s="10" t="n">
        <f aca="false">H39/D39</f>
        <v>2.15126050420168</v>
      </c>
    </row>
    <row r="40" customFormat="false" ht="15" hidden="false" customHeight="false" outlineLevel="0" collapsed="false">
      <c r="A40" s="4" t="s">
        <v>43</v>
      </c>
      <c r="B40" s="5" t="s">
        <v>30</v>
      </c>
      <c r="C40" s="5"/>
      <c r="D40" s="6" t="n">
        <v>11.9</v>
      </c>
      <c r="E40" s="7" t="n">
        <v>236</v>
      </c>
      <c r="F40" s="7" t="n">
        <v>1520</v>
      </c>
      <c r="G40" s="8" t="n">
        <f aca="false">F40/4.184</f>
        <v>363.288718929254</v>
      </c>
      <c r="H40" s="7" t="n">
        <v>24.1</v>
      </c>
      <c r="I40" s="9" t="n">
        <f aca="false">E40/D40</f>
        <v>19.8319327731092</v>
      </c>
      <c r="J40" s="8" t="n">
        <f aca="false">F40/D40</f>
        <v>127.731092436975</v>
      </c>
      <c r="K40" s="8" t="n">
        <f aca="false">G40/D40</f>
        <v>30.5284637755676</v>
      </c>
      <c r="L40" s="10" t="n">
        <f aca="false">H40/D40</f>
        <v>2.02521008403361</v>
      </c>
    </row>
    <row r="41" customFormat="false" ht="15" hidden="false" customHeight="false" outlineLevel="0" collapsed="false">
      <c r="A41" s="4" t="s">
        <v>44</v>
      </c>
      <c r="B41" s="5" t="s">
        <v>30</v>
      </c>
      <c r="C41" s="5"/>
      <c r="D41" s="6" t="n">
        <v>10.9</v>
      </c>
      <c r="E41" s="7" t="n">
        <v>216</v>
      </c>
      <c r="F41" s="7" t="n">
        <v>1570</v>
      </c>
      <c r="G41" s="8" t="n">
        <f aca="false">F41/4.184</f>
        <v>375.239005736138</v>
      </c>
      <c r="H41" s="7" t="n">
        <v>20.2</v>
      </c>
      <c r="I41" s="9" t="n">
        <f aca="false">E41/D41</f>
        <v>19.8165137614679</v>
      </c>
      <c r="J41" s="8" t="n">
        <f aca="false">F41/D41</f>
        <v>144.036697247706</v>
      </c>
      <c r="K41" s="8" t="n">
        <f aca="false">G41/D41</f>
        <v>34.4255968565264</v>
      </c>
      <c r="L41" s="10" t="n">
        <f aca="false">H41/D41</f>
        <v>1.85321100917431</v>
      </c>
    </row>
    <row r="42" customFormat="false" ht="15" hidden="false" customHeight="false" outlineLevel="0" collapsed="false">
      <c r="A42" s="4" t="s">
        <v>45</v>
      </c>
      <c r="B42" s="5" t="s">
        <v>30</v>
      </c>
      <c r="C42" s="5"/>
      <c r="D42" s="6" t="n">
        <v>10.5</v>
      </c>
      <c r="E42" s="7" t="n">
        <v>206</v>
      </c>
      <c r="F42" s="7" t="n">
        <v>1120</v>
      </c>
      <c r="G42" s="8" t="n">
        <f aca="false">F42/4.184</f>
        <v>267.686424474187</v>
      </c>
      <c r="H42" s="7" t="n">
        <v>16.6</v>
      </c>
      <c r="I42" s="9" t="n">
        <f aca="false">E42/D42</f>
        <v>19.6190476190476</v>
      </c>
      <c r="J42" s="8" t="n">
        <f aca="false">F42/D42</f>
        <v>106.666666666667</v>
      </c>
      <c r="K42" s="8" t="n">
        <f aca="false">G42/D42</f>
        <v>25.4939451880178</v>
      </c>
      <c r="L42" s="10" t="n">
        <f aca="false">H42/D42</f>
        <v>1.58095238095238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29</v>
      </c>
      <c r="B5" s="5" t="s">
        <v>15</v>
      </c>
      <c r="C5" s="5"/>
      <c r="D5" s="6" t="n">
        <v>1.4</v>
      </c>
      <c r="E5" s="7" t="n">
        <v>45</v>
      </c>
      <c r="F5" s="7" t="n">
        <v>955</v>
      </c>
      <c r="G5" s="8" t="n">
        <f aca="false">F5/4.184</f>
        <v>228.250478011472</v>
      </c>
      <c r="H5" s="7" t="n">
        <v>2.1</v>
      </c>
      <c r="I5" s="9" t="n">
        <f aca="false">E5/D5</f>
        <v>32.1428571428571</v>
      </c>
      <c r="J5" s="8" t="n">
        <f aca="false">F5/D5</f>
        <v>682.142857142857</v>
      </c>
      <c r="K5" s="8" t="n">
        <f aca="false">G5/D5</f>
        <v>163.03605572248</v>
      </c>
      <c r="L5" s="10" t="n">
        <f aca="false">H5/D5</f>
        <v>1.5</v>
      </c>
    </row>
    <row r="6" customFormat="false" ht="15" hidden="false" customHeight="false" outlineLevel="0" collapsed="false">
      <c r="A6" s="4" t="s">
        <v>14</v>
      </c>
      <c r="B6" s="5" t="s">
        <v>15</v>
      </c>
      <c r="C6" s="5" t="s">
        <v>16</v>
      </c>
      <c r="D6" s="6" t="n">
        <v>2.5</v>
      </c>
      <c r="E6" s="7" t="n">
        <v>190</v>
      </c>
      <c r="F6" s="7" t="n">
        <v>1170</v>
      </c>
      <c r="G6" s="8" t="n">
        <f aca="false">F6/4.184</f>
        <v>279.636711281071</v>
      </c>
      <c r="H6" s="7" t="n">
        <v>6.5</v>
      </c>
      <c r="I6" s="9" t="n">
        <f aca="false">E6/D6</f>
        <v>76</v>
      </c>
      <c r="J6" s="8" t="n">
        <f aca="false">F6/D6</f>
        <v>468</v>
      </c>
      <c r="K6" s="8" t="n">
        <f aca="false">G6/D6</f>
        <v>111.854684512428</v>
      </c>
      <c r="L6" s="10" t="n">
        <f aca="false">H6/D6</f>
        <v>2.6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 t="s">
        <v>19</v>
      </c>
      <c r="D7" s="6" t="n">
        <v>8</v>
      </c>
      <c r="E7" s="7" t="n">
        <v>432</v>
      </c>
      <c r="F7" s="7" t="n">
        <v>3140</v>
      </c>
      <c r="G7" s="8" t="n">
        <f aca="false">F7/4.184</f>
        <v>750.478011472275</v>
      </c>
      <c r="H7" s="7" t="n">
        <v>40.4</v>
      </c>
      <c r="I7" s="9" t="n">
        <f aca="false">E7/D7</f>
        <v>54</v>
      </c>
      <c r="J7" s="8" t="n">
        <f aca="false">F7/D7</f>
        <v>392.5</v>
      </c>
      <c r="K7" s="8" t="n">
        <f aca="false">G7/D7</f>
        <v>93.8097514340344</v>
      </c>
      <c r="L7" s="10" t="n">
        <f aca="false">H7/D7</f>
        <v>5.05</v>
      </c>
    </row>
    <row r="8" customFormat="false" ht="15" hidden="false" customHeight="false" outlineLevel="0" collapsed="false">
      <c r="A8" s="4" t="s">
        <v>39</v>
      </c>
      <c r="B8" s="5" t="s">
        <v>15</v>
      </c>
      <c r="C8" s="5" t="s">
        <v>40</v>
      </c>
      <c r="D8" s="6" t="n">
        <v>4.5</v>
      </c>
      <c r="E8" s="7" t="n">
        <v>123</v>
      </c>
      <c r="F8" s="7" t="n">
        <v>1540</v>
      </c>
      <c r="G8" s="8" t="n">
        <f aca="false">F8/4.184</f>
        <v>368.068833652008</v>
      </c>
      <c r="H8" s="7" t="n">
        <v>14.5</v>
      </c>
      <c r="I8" s="9" t="n">
        <f aca="false">E8/D8</f>
        <v>27.3333333333333</v>
      </c>
      <c r="J8" s="8" t="n">
        <f aca="false">F8/D8</f>
        <v>342.222222222222</v>
      </c>
      <c r="K8" s="8" t="n">
        <f aca="false">G8/D8</f>
        <v>81.7930741448906</v>
      </c>
      <c r="L8" s="10" t="n">
        <f aca="false">H8/D8</f>
        <v>3.22222222222222</v>
      </c>
    </row>
    <row r="9" customFormat="false" ht="15" hidden="false" customHeight="false" outlineLevel="0" collapsed="false">
      <c r="A9" s="4" t="s">
        <v>20</v>
      </c>
      <c r="B9" s="5" t="s">
        <v>21</v>
      </c>
      <c r="C9" s="5" t="s">
        <v>22</v>
      </c>
      <c r="D9" s="6" t="n">
        <v>11.7</v>
      </c>
      <c r="E9" s="7" t="n">
        <v>458</v>
      </c>
      <c r="F9" s="7" t="n">
        <v>3460</v>
      </c>
      <c r="G9" s="8" t="n">
        <f aca="false">F9/4.184</f>
        <v>826.959847036329</v>
      </c>
      <c r="H9" s="7" t="n">
        <v>39.8</v>
      </c>
      <c r="I9" s="9" t="n">
        <f aca="false">E9/D9</f>
        <v>39.1452991452992</v>
      </c>
      <c r="J9" s="8" t="n">
        <f aca="false">F9/D9</f>
        <v>295.726495726496</v>
      </c>
      <c r="K9" s="8" t="n">
        <f aca="false">G9/D9</f>
        <v>70.6803288065238</v>
      </c>
      <c r="L9" s="10" t="n">
        <f aca="false">H9/D9</f>
        <v>3.4017094017094</v>
      </c>
    </row>
    <row r="10" customFormat="false" ht="15" hidden="false" customHeight="false" outlineLevel="0" collapsed="false">
      <c r="A10" s="4" t="s">
        <v>24</v>
      </c>
      <c r="B10" s="5" t="s">
        <v>21</v>
      </c>
      <c r="C10" s="5" t="s">
        <v>22</v>
      </c>
      <c r="D10" s="6" t="n">
        <v>13.2</v>
      </c>
      <c r="E10" s="7" t="n">
        <v>496</v>
      </c>
      <c r="F10" s="7" t="n">
        <v>3380</v>
      </c>
      <c r="G10" s="8" t="n">
        <f aca="false">F10/4.184</f>
        <v>807.839388145315</v>
      </c>
      <c r="H10" s="7" t="n">
        <v>32</v>
      </c>
      <c r="I10" s="9" t="n">
        <f aca="false">E10/D10</f>
        <v>37.5757575757576</v>
      </c>
      <c r="J10" s="8" t="n">
        <f aca="false">F10/D10</f>
        <v>256.060606060606</v>
      </c>
      <c r="K10" s="8" t="n">
        <f aca="false">G10/D10</f>
        <v>61.1999536473724</v>
      </c>
      <c r="L10" s="10" t="n">
        <f aca="false">H10/D10</f>
        <v>2.42424242424242</v>
      </c>
    </row>
    <row r="11" customFormat="false" ht="15" hidden="false" customHeight="false" outlineLevel="0" collapsed="false">
      <c r="A11" s="4" t="s">
        <v>23</v>
      </c>
      <c r="B11" s="5" t="s">
        <v>21</v>
      </c>
      <c r="C11" s="5" t="s">
        <v>22</v>
      </c>
      <c r="D11" s="6" t="n">
        <v>15.3</v>
      </c>
      <c r="E11" s="7" t="n">
        <v>594</v>
      </c>
      <c r="F11" s="7" t="n">
        <v>3840</v>
      </c>
      <c r="G11" s="8" t="n">
        <f aca="false">F11/4.184</f>
        <v>917.782026768642</v>
      </c>
      <c r="H11" s="7" t="n">
        <v>44</v>
      </c>
      <c r="I11" s="9" t="n">
        <f aca="false">E11/D11</f>
        <v>38.8235294117647</v>
      </c>
      <c r="J11" s="8" t="n">
        <f aca="false">F11/D11</f>
        <v>250.980392156863</v>
      </c>
      <c r="K11" s="8" t="n">
        <f aca="false">G11/D11</f>
        <v>59.9857533835714</v>
      </c>
      <c r="L11" s="10" t="n">
        <f aca="false">H11/D11</f>
        <v>2.87581699346405</v>
      </c>
    </row>
    <row r="12" customFormat="false" ht="15" hidden="false" customHeight="false" outlineLevel="0" collapsed="false">
      <c r="A12" s="4" t="s">
        <v>25</v>
      </c>
      <c r="B12" s="5" t="s">
        <v>15</v>
      </c>
      <c r="C12" s="5" t="s">
        <v>26</v>
      </c>
      <c r="D12" s="6" t="n">
        <v>5.5</v>
      </c>
      <c r="E12" s="7" t="n">
        <v>194</v>
      </c>
      <c r="F12" s="7" t="n">
        <v>1350</v>
      </c>
      <c r="G12" s="8" t="n">
        <f aca="false">F12/4.184</f>
        <v>322.657743785851</v>
      </c>
      <c r="H12" s="7" t="n">
        <v>17.5</v>
      </c>
      <c r="I12" s="9" t="n">
        <f aca="false">E12/D12</f>
        <v>35.2727272727273</v>
      </c>
      <c r="J12" s="8" t="n">
        <f aca="false">F12/D12</f>
        <v>245.454545454545</v>
      </c>
      <c r="K12" s="8" t="n">
        <f aca="false">G12/D12</f>
        <v>58.6650443247002</v>
      </c>
      <c r="L12" s="10" t="n">
        <f aca="false">H12/D12</f>
        <v>3.18181818181818</v>
      </c>
    </row>
    <row r="13" customFormat="false" ht="15" hidden="false" customHeight="false" outlineLevel="0" collapsed="false">
      <c r="A13" s="4" t="s">
        <v>20</v>
      </c>
      <c r="B13" s="5" t="s">
        <v>30</v>
      </c>
      <c r="C13" s="5"/>
      <c r="D13" s="6" t="n">
        <v>7.55</v>
      </c>
      <c r="E13" s="7" t="n">
        <v>229</v>
      </c>
      <c r="F13" s="7" t="n">
        <v>1730</v>
      </c>
      <c r="G13" s="8" t="n">
        <f aca="false">F13/4.184</f>
        <v>413.479923518164</v>
      </c>
      <c r="H13" s="7" t="n">
        <v>19.9</v>
      </c>
      <c r="I13" s="9" t="n">
        <f aca="false">E13/D13</f>
        <v>30.3311258278146</v>
      </c>
      <c r="J13" s="8" t="n">
        <f aca="false">F13/D13</f>
        <v>229.139072847682</v>
      </c>
      <c r="K13" s="8" t="n">
        <f aca="false">G13/D13</f>
        <v>54.7655527838628</v>
      </c>
      <c r="L13" s="10" t="n">
        <f aca="false">H13/D13</f>
        <v>2.63576158940397</v>
      </c>
    </row>
    <row r="14" customFormat="false" ht="15" hidden="false" customHeight="false" outlineLevel="0" collapsed="false">
      <c r="A14" s="4" t="s">
        <v>31</v>
      </c>
      <c r="B14" s="5" t="s">
        <v>21</v>
      </c>
      <c r="C14" s="5" t="s">
        <v>22</v>
      </c>
      <c r="D14" s="6" t="n">
        <v>18.4</v>
      </c>
      <c r="E14" s="7" t="n">
        <v>554</v>
      </c>
      <c r="F14" s="7" t="n">
        <v>3680</v>
      </c>
      <c r="G14" s="8" t="n">
        <f aca="false">F14/4.184</f>
        <v>879.541108986616</v>
      </c>
      <c r="H14" s="7" t="n">
        <v>58</v>
      </c>
      <c r="I14" s="9" t="n">
        <f aca="false">E14/D14</f>
        <v>30.1086956521739</v>
      </c>
      <c r="J14" s="8" t="n">
        <f aca="false">F14/D14</f>
        <v>200</v>
      </c>
      <c r="K14" s="8" t="n">
        <f aca="false">G14/D14</f>
        <v>47.8011472275335</v>
      </c>
      <c r="L14" s="10" t="n">
        <f aca="false">H14/D14</f>
        <v>3.15217391304348</v>
      </c>
    </row>
    <row r="15" customFormat="false" ht="15" hidden="false" customHeight="false" outlineLevel="0" collapsed="false">
      <c r="A15" s="4" t="s">
        <v>24</v>
      </c>
      <c r="B15" s="5" t="s">
        <v>30</v>
      </c>
      <c r="C15" s="5"/>
      <c r="D15" s="6" t="n">
        <v>8.5</v>
      </c>
      <c r="E15" s="7" t="n">
        <v>248</v>
      </c>
      <c r="F15" s="7" t="n">
        <v>1690</v>
      </c>
      <c r="G15" s="8" t="n">
        <f aca="false">F15/4.184</f>
        <v>403.919694072658</v>
      </c>
      <c r="H15" s="7" t="n">
        <v>16</v>
      </c>
      <c r="I15" s="9" t="n">
        <f aca="false">E15/D15</f>
        <v>29.1764705882353</v>
      </c>
      <c r="J15" s="8" t="n">
        <f aca="false">F15/D15</f>
        <v>198.823529411765</v>
      </c>
      <c r="K15" s="8" t="n">
        <f aca="false">G15/D15</f>
        <v>47.519964008548</v>
      </c>
      <c r="L15" s="10" t="n">
        <f aca="false">H15/D15</f>
        <v>1.88235294117647</v>
      </c>
    </row>
    <row r="16" customFormat="false" ht="15" hidden="false" customHeight="false" outlineLevel="0" collapsed="false">
      <c r="A16" s="4" t="s">
        <v>27</v>
      </c>
      <c r="B16" s="5" t="s">
        <v>21</v>
      </c>
      <c r="C16" s="5" t="s">
        <v>22</v>
      </c>
      <c r="D16" s="6" t="n">
        <v>11.6</v>
      </c>
      <c r="E16" s="7" t="n">
        <v>386</v>
      </c>
      <c r="F16" s="7" t="n">
        <v>2260</v>
      </c>
      <c r="G16" s="8" t="n">
        <f aca="false">F16/4.184</f>
        <v>540.152963671128</v>
      </c>
      <c r="H16" s="7" t="n">
        <v>19</v>
      </c>
      <c r="I16" s="9" t="n">
        <f aca="false">E16/D16</f>
        <v>33.2758620689655</v>
      </c>
      <c r="J16" s="8" t="n">
        <f aca="false">F16/D16</f>
        <v>194.827586206897</v>
      </c>
      <c r="K16" s="8" t="n">
        <f aca="false">G16/D16</f>
        <v>46.5649106613042</v>
      </c>
      <c r="L16" s="10" t="n">
        <f aca="false">H16/D16</f>
        <v>1.63793103448276</v>
      </c>
    </row>
    <row r="17" customFormat="false" ht="15" hidden="false" customHeight="false" outlineLevel="0" collapsed="false">
      <c r="A17" s="4" t="s">
        <v>23</v>
      </c>
      <c r="B17" s="5" t="s">
        <v>30</v>
      </c>
      <c r="C17" s="5"/>
      <c r="D17" s="6" t="n">
        <v>9.9</v>
      </c>
      <c r="E17" s="7" t="n">
        <v>297</v>
      </c>
      <c r="F17" s="7" t="n">
        <v>1920</v>
      </c>
      <c r="G17" s="8" t="n">
        <f aca="false">F17/4.184</f>
        <v>458.891013384321</v>
      </c>
      <c r="H17" s="7" t="n">
        <v>22</v>
      </c>
      <c r="I17" s="9" t="n">
        <f aca="false">E17/D17</f>
        <v>30</v>
      </c>
      <c r="J17" s="8" t="n">
        <f aca="false">F17/D17</f>
        <v>193.939393939394</v>
      </c>
      <c r="K17" s="8" t="n">
        <f aca="false">G17/D17</f>
        <v>46.3526276145779</v>
      </c>
      <c r="L17" s="10" t="n">
        <f aca="false">H17/D17</f>
        <v>2.22222222222222</v>
      </c>
    </row>
    <row r="18" customFormat="false" ht="15" hidden="false" customHeight="false" outlineLevel="0" collapsed="false">
      <c r="A18" s="4" t="s">
        <v>44</v>
      </c>
      <c r="B18" s="5" t="s">
        <v>21</v>
      </c>
      <c r="C18" s="5" t="s">
        <v>22</v>
      </c>
      <c r="D18" s="6" t="n">
        <v>16.9</v>
      </c>
      <c r="E18" s="7" t="n">
        <v>432</v>
      </c>
      <c r="F18" s="7" t="n">
        <v>3140</v>
      </c>
      <c r="G18" s="8" t="n">
        <f aca="false">F18/4.184</f>
        <v>750.478011472275</v>
      </c>
      <c r="H18" s="7" t="n">
        <v>40.4</v>
      </c>
      <c r="I18" s="9" t="n">
        <f aca="false">E18/D18</f>
        <v>25.5621301775148</v>
      </c>
      <c r="J18" s="8" t="n">
        <f aca="false">F18/D18</f>
        <v>185.798816568047</v>
      </c>
      <c r="K18" s="8" t="n">
        <f aca="false">G18/D18</f>
        <v>44.4069829273536</v>
      </c>
      <c r="L18" s="10" t="n">
        <f aca="false">H18/D18</f>
        <v>2.3905325443787</v>
      </c>
    </row>
    <row r="19" customFormat="false" ht="15" hidden="false" customHeight="false" outlineLevel="0" collapsed="false">
      <c r="A19" s="4" t="s">
        <v>32</v>
      </c>
      <c r="B19" s="5" t="s">
        <v>21</v>
      </c>
      <c r="C19" s="5" t="s">
        <v>22</v>
      </c>
      <c r="D19" s="6" t="n">
        <v>15.3</v>
      </c>
      <c r="E19" s="7" t="n">
        <v>458</v>
      </c>
      <c r="F19" s="7" t="n">
        <v>2840</v>
      </c>
      <c r="G19" s="8" t="n">
        <f aca="false">F19/4.184</f>
        <v>678.776290630975</v>
      </c>
      <c r="H19" s="7" t="n">
        <v>22.8</v>
      </c>
      <c r="I19" s="9" t="n">
        <f aca="false">E19/D19</f>
        <v>29.9346405228758</v>
      </c>
      <c r="J19" s="8" t="n">
        <f aca="false">F19/D19</f>
        <v>185.62091503268</v>
      </c>
      <c r="K19" s="8" t="n">
        <f aca="false">G19/D19</f>
        <v>44.364463439933</v>
      </c>
      <c r="L19" s="10" t="n">
        <f aca="false">H19/D19</f>
        <v>1.49019607843137</v>
      </c>
    </row>
    <row r="20" customFormat="false" ht="15" hidden="false" customHeight="false" outlineLevel="0" collapsed="false">
      <c r="A20" s="4" t="s">
        <v>42</v>
      </c>
      <c r="B20" s="5" t="s">
        <v>21</v>
      </c>
      <c r="C20" s="5" t="s">
        <v>22</v>
      </c>
      <c r="D20" s="6" t="n">
        <v>18.4</v>
      </c>
      <c r="E20" s="7" t="n">
        <v>490</v>
      </c>
      <c r="F20" s="7" t="n">
        <v>3300</v>
      </c>
      <c r="G20" s="8" t="n">
        <f aca="false">F20/4.184</f>
        <v>788.718929254302</v>
      </c>
      <c r="H20" s="7" t="n">
        <v>51.2</v>
      </c>
      <c r="I20" s="9" t="n">
        <f aca="false">E20/D20</f>
        <v>26.6304347826087</v>
      </c>
      <c r="J20" s="8" t="n">
        <f aca="false">F20/D20</f>
        <v>179.347826086957</v>
      </c>
      <c r="K20" s="8" t="n">
        <f aca="false">G20/D20</f>
        <v>42.8651591986034</v>
      </c>
      <c r="L20" s="10" t="n">
        <f aca="false">H20/D20</f>
        <v>2.78260869565217</v>
      </c>
    </row>
    <row r="21" customFormat="false" ht="15" hidden="false" customHeight="false" outlineLevel="0" collapsed="false">
      <c r="A21" s="4" t="s">
        <v>41</v>
      </c>
      <c r="B21" s="5" t="s">
        <v>21</v>
      </c>
      <c r="C21" s="5" t="s">
        <v>22</v>
      </c>
      <c r="D21" s="6" t="n">
        <v>16.3</v>
      </c>
      <c r="E21" s="7" t="n">
        <v>436</v>
      </c>
      <c r="F21" s="7" t="n">
        <v>2920</v>
      </c>
      <c r="G21" s="8" t="n">
        <f aca="false">F21/4.184</f>
        <v>697.896749521989</v>
      </c>
      <c r="H21" s="7" t="n">
        <v>36</v>
      </c>
      <c r="I21" s="9" t="n">
        <f aca="false">E21/D21</f>
        <v>26.7484662576687</v>
      </c>
      <c r="J21" s="8" t="n">
        <f aca="false">F21/D21</f>
        <v>179.141104294479</v>
      </c>
      <c r="K21" s="8" t="n">
        <f aca="false">G21/D21</f>
        <v>42.8157515044165</v>
      </c>
      <c r="L21" s="10" t="n">
        <f aca="false">H21/D21</f>
        <v>2.20858895705521</v>
      </c>
    </row>
    <row r="22" customFormat="false" ht="15" hidden="false" customHeight="false" outlineLevel="0" collapsed="false">
      <c r="A22" s="4" t="s">
        <v>33</v>
      </c>
      <c r="B22" s="5" t="s">
        <v>21</v>
      </c>
      <c r="C22" s="5" t="s">
        <v>22</v>
      </c>
      <c r="D22" s="6" t="n">
        <v>15.3</v>
      </c>
      <c r="E22" s="7" t="n">
        <v>444</v>
      </c>
      <c r="F22" s="7" t="n">
        <v>2720</v>
      </c>
      <c r="G22" s="8" t="n">
        <f aca="false">F22/4.184</f>
        <v>650.095602294455</v>
      </c>
      <c r="H22" s="7" t="n">
        <v>37.2</v>
      </c>
      <c r="I22" s="9" t="n">
        <f aca="false">E22/D22</f>
        <v>29.0196078431373</v>
      </c>
      <c r="J22" s="8" t="n">
        <f aca="false">F22/D22</f>
        <v>177.777777777778</v>
      </c>
      <c r="K22" s="8" t="n">
        <f aca="false">G22/D22</f>
        <v>42.4899086466964</v>
      </c>
      <c r="L22" s="10" t="n">
        <f aca="false">H22/D22</f>
        <v>2.43137254901961</v>
      </c>
    </row>
    <row r="23" customFormat="false" ht="15" hidden="false" customHeight="false" outlineLevel="0" collapsed="false">
      <c r="A23" s="4" t="s">
        <v>28</v>
      </c>
      <c r="B23" s="5" t="s">
        <v>21</v>
      </c>
      <c r="C23" s="5" t="s">
        <v>22</v>
      </c>
      <c r="D23" s="6" t="n">
        <v>12.4</v>
      </c>
      <c r="E23" s="7" t="n">
        <v>402</v>
      </c>
      <c r="F23" s="7" t="n">
        <v>2140</v>
      </c>
      <c r="G23" s="8" t="n">
        <f aca="false">F23/4.184</f>
        <v>511.472275334608</v>
      </c>
      <c r="H23" s="7" t="n">
        <v>31</v>
      </c>
      <c r="I23" s="9" t="n">
        <f aca="false">E23/D23</f>
        <v>32.4193548387097</v>
      </c>
      <c r="J23" s="8" t="n">
        <f aca="false">F23/D23</f>
        <v>172.58064516129</v>
      </c>
      <c r="K23" s="8" t="n">
        <f aca="false">G23/D23</f>
        <v>41.2477641398877</v>
      </c>
      <c r="L23" s="10" t="n">
        <f aca="false">H23/D23</f>
        <v>2.5</v>
      </c>
    </row>
    <row r="24" customFormat="false" ht="15" hidden="false" customHeight="false" outlineLevel="0" collapsed="false">
      <c r="A24" s="4" t="s">
        <v>43</v>
      </c>
      <c r="B24" s="5" t="s">
        <v>21</v>
      </c>
      <c r="C24" s="5" t="s">
        <v>22</v>
      </c>
      <c r="D24" s="6" t="n">
        <v>18.4</v>
      </c>
      <c r="E24" s="7" t="n">
        <v>472</v>
      </c>
      <c r="F24" s="7" t="n">
        <v>3040</v>
      </c>
      <c r="G24" s="8" t="n">
        <f aca="false">F24/4.184</f>
        <v>726.577437858509</v>
      </c>
      <c r="H24" s="7" t="n">
        <v>48.2</v>
      </c>
      <c r="I24" s="9" t="n">
        <f aca="false">E24/D24</f>
        <v>25.6521739130435</v>
      </c>
      <c r="J24" s="8" t="n">
        <f aca="false">F24/D24</f>
        <v>165.217391304348</v>
      </c>
      <c r="K24" s="8" t="n">
        <f aca="false">G24/D24</f>
        <v>39.4879042314407</v>
      </c>
      <c r="L24" s="10" t="n">
        <f aca="false">H24/D24</f>
        <v>2.6195652173913</v>
      </c>
    </row>
    <row r="25" customFormat="false" ht="15" hidden="false" customHeight="false" outlineLevel="0" collapsed="false">
      <c r="A25" s="4" t="s">
        <v>31</v>
      </c>
      <c r="B25" s="5" t="s">
        <v>30</v>
      </c>
      <c r="C25" s="5"/>
      <c r="D25" s="6" t="n">
        <v>11.9</v>
      </c>
      <c r="E25" s="7" t="n">
        <v>277</v>
      </c>
      <c r="F25" s="7" t="n">
        <v>1840</v>
      </c>
      <c r="G25" s="8" t="n">
        <f aca="false">F25/4.184</f>
        <v>439.770554493308</v>
      </c>
      <c r="H25" s="7" t="n">
        <v>29</v>
      </c>
      <c r="I25" s="9" t="n">
        <f aca="false">E25/D25</f>
        <v>23.2773109243697</v>
      </c>
      <c r="J25" s="8" t="n">
        <f aca="false">F25/D25</f>
        <v>154.621848739496</v>
      </c>
      <c r="K25" s="8" t="n">
        <f aca="false">G25/D25</f>
        <v>36.9555087809502</v>
      </c>
      <c r="L25" s="10" t="n">
        <f aca="false">H25/D25</f>
        <v>2.43697478991597</v>
      </c>
    </row>
    <row r="26" customFormat="false" ht="15" hidden="false" customHeight="false" outlineLevel="0" collapsed="false">
      <c r="A26" s="4" t="s">
        <v>34</v>
      </c>
      <c r="B26" s="5" t="s">
        <v>21</v>
      </c>
      <c r="C26" s="5" t="s">
        <v>22</v>
      </c>
      <c r="D26" s="6" t="n">
        <v>16.9</v>
      </c>
      <c r="E26" s="7" t="n">
        <v>486</v>
      </c>
      <c r="F26" s="7" t="n">
        <v>2600</v>
      </c>
      <c r="G26" s="8" t="n">
        <f aca="false">F26/4.184</f>
        <v>621.414913957935</v>
      </c>
      <c r="H26" s="7" t="n">
        <v>45.6</v>
      </c>
      <c r="I26" s="9" t="n">
        <f aca="false">E26/D26</f>
        <v>28.7573964497041</v>
      </c>
      <c r="J26" s="8" t="n">
        <f aca="false">F26/D26</f>
        <v>153.846153846154</v>
      </c>
      <c r="K26" s="8" t="n">
        <f aca="false">G26/D26</f>
        <v>36.7701132519488</v>
      </c>
      <c r="L26" s="10" t="n">
        <f aca="false">H26/D26</f>
        <v>2.69822485207101</v>
      </c>
    </row>
    <row r="27" customFormat="false" ht="15" hidden="false" customHeight="false" outlineLevel="0" collapsed="false">
      <c r="A27" s="4" t="s">
        <v>36</v>
      </c>
      <c r="B27" s="5" t="s">
        <v>18</v>
      </c>
      <c r="C27" s="5" t="s">
        <v>37</v>
      </c>
      <c r="D27" s="6" t="n">
        <v>7</v>
      </c>
      <c r="E27" s="7" t="n">
        <v>201</v>
      </c>
      <c r="F27" s="7" t="n">
        <v>1070</v>
      </c>
      <c r="G27" s="8" t="n">
        <f aca="false">F27/4.184</f>
        <v>255.736137667304</v>
      </c>
      <c r="H27" s="7" t="n">
        <v>15.5</v>
      </c>
      <c r="I27" s="9" t="n">
        <f aca="false">E27/D27</f>
        <v>28.7142857142857</v>
      </c>
      <c r="J27" s="8" t="n">
        <f aca="false">F27/D27</f>
        <v>152.857142857143</v>
      </c>
      <c r="K27" s="8" t="n">
        <f aca="false">G27/D27</f>
        <v>36.533733952472</v>
      </c>
      <c r="L27" s="10" t="n">
        <f aca="false">H27/D27</f>
        <v>2.21428571428571</v>
      </c>
    </row>
    <row r="28" customFormat="false" ht="15" hidden="false" customHeight="false" outlineLevel="0" collapsed="false">
      <c r="A28" s="4" t="s">
        <v>27</v>
      </c>
      <c r="B28" s="5" t="s">
        <v>30</v>
      </c>
      <c r="C28" s="5"/>
      <c r="D28" s="6" t="n">
        <v>7.5</v>
      </c>
      <c r="E28" s="7" t="n">
        <v>193</v>
      </c>
      <c r="F28" s="7" t="n">
        <v>1130</v>
      </c>
      <c r="G28" s="8" t="n">
        <f aca="false">F28/4.184</f>
        <v>270.076481835564</v>
      </c>
      <c r="H28" s="7" t="n">
        <v>9.5</v>
      </c>
      <c r="I28" s="9" t="n">
        <f aca="false">E28/D28</f>
        <v>25.7333333333333</v>
      </c>
      <c r="J28" s="8" t="n">
        <f aca="false">F28/D28</f>
        <v>150.666666666667</v>
      </c>
      <c r="K28" s="8" t="n">
        <f aca="false">G28/D28</f>
        <v>36.0101975780752</v>
      </c>
      <c r="L28" s="10" t="n">
        <f aca="false">H28/D28</f>
        <v>1.26666666666667</v>
      </c>
    </row>
    <row r="29" customFormat="false" ht="15" hidden="false" customHeight="false" outlineLevel="0" collapsed="false">
      <c r="A29" s="4" t="s">
        <v>38</v>
      </c>
      <c r="B29" s="5" t="s">
        <v>21</v>
      </c>
      <c r="C29" s="5" t="s">
        <v>22</v>
      </c>
      <c r="D29" s="6" t="n">
        <v>14.7</v>
      </c>
      <c r="E29" s="7" t="n">
        <v>420</v>
      </c>
      <c r="F29" s="7" t="n">
        <v>2200</v>
      </c>
      <c r="G29" s="8" t="n">
        <f aca="false">F29/4.184</f>
        <v>525.812619502868</v>
      </c>
      <c r="H29" s="7" t="n">
        <v>34.4</v>
      </c>
      <c r="I29" s="9" t="n">
        <f aca="false">E29/D29</f>
        <v>28.5714285714286</v>
      </c>
      <c r="J29" s="8" t="n">
        <f aca="false">F29/D29</f>
        <v>149.659863945578</v>
      </c>
      <c r="K29" s="8" t="n">
        <f aca="false">G29/D29</f>
        <v>35.7695659525761</v>
      </c>
      <c r="L29" s="10" t="n">
        <f aca="false">H29/D29</f>
        <v>2.34013605442177</v>
      </c>
    </row>
    <row r="30" customFormat="false" ht="15" hidden="false" customHeight="false" outlineLevel="0" collapsed="false">
      <c r="A30" s="4" t="s">
        <v>35</v>
      </c>
      <c r="B30" s="5" t="s">
        <v>21</v>
      </c>
      <c r="C30" s="5" t="s">
        <v>22</v>
      </c>
      <c r="D30" s="6" t="n">
        <v>16.9</v>
      </c>
      <c r="E30" s="7" t="n">
        <v>486</v>
      </c>
      <c r="F30" s="7" t="n">
        <v>2480</v>
      </c>
      <c r="G30" s="8" t="n">
        <f aca="false">F30/4.184</f>
        <v>592.734225621415</v>
      </c>
      <c r="H30" s="7" t="n">
        <v>46.2</v>
      </c>
      <c r="I30" s="9" t="n">
        <f aca="false">E30/D30</f>
        <v>28.7573964497041</v>
      </c>
      <c r="J30" s="8" t="n">
        <f aca="false">F30/D30</f>
        <v>146.745562130178</v>
      </c>
      <c r="K30" s="8" t="n">
        <f aca="false">G30/D30</f>
        <v>35.0730311018589</v>
      </c>
      <c r="L30" s="10" t="n">
        <f aca="false">H30/D30</f>
        <v>2.73372781065089</v>
      </c>
    </row>
    <row r="31" customFormat="false" ht="15" hidden="false" customHeight="false" outlineLevel="0" collapsed="false">
      <c r="A31" s="4" t="s">
        <v>44</v>
      </c>
      <c r="B31" s="5" t="s">
        <v>30</v>
      </c>
      <c r="C31" s="5"/>
      <c r="D31" s="6" t="n">
        <v>10.9</v>
      </c>
      <c r="E31" s="7" t="n">
        <v>216</v>
      </c>
      <c r="F31" s="7" t="n">
        <v>1570</v>
      </c>
      <c r="G31" s="8" t="n">
        <f aca="false">F31/4.184</f>
        <v>375.239005736138</v>
      </c>
      <c r="H31" s="7" t="n">
        <v>20.2</v>
      </c>
      <c r="I31" s="9" t="n">
        <f aca="false">E31/D31</f>
        <v>19.8165137614679</v>
      </c>
      <c r="J31" s="8" t="n">
        <f aca="false">F31/D31</f>
        <v>144.036697247706</v>
      </c>
      <c r="K31" s="8" t="n">
        <f aca="false">G31/D31</f>
        <v>34.4255968565264</v>
      </c>
      <c r="L31" s="10" t="n">
        <f aca="false">H31/D31</f>
        <v>1.85321100917431</v>
      </c>
    </row>
    <row r="32" customFormat="false" ht="15" hidden="false" customHeight="false" outlineLevel="0" collapsed="false">
      <c r="A32" s="4" t="s">
        <v>32</v>
      </c>
      <c r="B32" s="5" t="s">
        <v>30</v>
      </c>
      <c r="C32" s="5"/>
      <c r="D32" s="6" t="n">
        <v>9.9</v>
      </c>
      <c r="E32" s="7" t="n">
        <v>229</v>
      </c>
      <c r="F32" s="7" t="n">
        <v>1420</v>
      </c>
      <c r="G32" s="8" t="n">
        <f aca="false">F32/4.184</f>
        <v>339.388145315488</v>
      </c>
      <c r="H32" s="7" t="n">
        <v>11.4</v>
      </c>
      <c r="I32" s="9" t="n">
        <f aca="false">E32/D32</f>
        <v>23.1313131313131</v>
      </c>
      <c r="J32" s="8" t="n">
        <f aca="false">F32/D32</f>
        <v>143.434343434343</v>
      </c>
      <c r="K32" s="8" t="n">
        <f aca="false">G32/D32</f>
        <v>34.2816308399482</v>
      </c>
      <c r="L32" s="10" t="n">
        <f aca="false">H32/D32</f>
        <v>1.15151515151515</v>
      </c>
    </row>
    <row r="33" customFormat="false" ht="15" hidden="false" customHeight="false" outlineLevel="0" collapsed="false">
      <c r="A33" s="4" t="s">
        <v>41</v>
      </c>
      <c r="B33" s="5" t="s">
        <v>30</v>
      </c>
      <c r="C33" s="5"/>
      <c r="D33" s="6" t="n">
        <v>10.5</v>
      </c>
      <c r="E33" s="7" t="n">
        <v>218</v>
      </c>
      <c r="F33" s="7" t="n">
        <v>1460</v>
      </c>
      <c r="G33" s="8" t="n">
        <f aca="false">F33/4.184</f>
        <v>348.948374760994</v>
      </c>
      <c r="H33" s="7" t="n">
        <v>18</v>
      </c>
      <c r="I33" s="9" t="n">
        <f aca="false">E33/D33</f>
        <v>20.7619047619048</v>
      </c>
      <c r="J33" s="8" t="n">
        <f aca="false">F33/D33</f>
        <v>139.047619047619</v>
      </c>
      <c r="K33" s="8" t="n">
        <f aca="false">G33/D33</f>
        <v>33.2331785486661</v>
      </c>
      <c r="L33" s="10" t="n">
        <f aca="false">H33/D33</f>
        <v>1.71428571428571</v>
      </c>
    </row>
    <row r="34" customFormat="false" ht="15" hidden="false" customHeight="false" outlineLevel="0" collapsed="false">
      <c r="A34" s="4" t="s">
        <v>42</v>
      </c>
      <c r="B34" s="5" t="s">
        <v>30</v>
      </c>
      <c r="C34" s="5"/>
      <c r="D34" s="6" t="n">
        <v>11.9</v>
      </c>
      <c r="E34" s="7" t="n">
        <v>245</v>
      </c>
      <c r="F34" s="7" t="n">
        <v>1650</v>
      </c>
      <c r="G34" s="8" t="n">
        <f aca="false">F34/4.184</f>
        <v>394.359464627151</v>
      </c>
      <c r="H34" s="7" t="n">
        <v>25.6</v>
      </c>
      <c r="I34" s="9" t="n">
        <f aca="false">E34/D34</f>
        <v>20.5882352941176</v>
      </c>
      <c r="J34" s="8" t="n">
        <f aca="false">F34/D34</f>
        <v>138.655462184874</v>
      </c>
      <c r="K34" s="8" t="n">
        <f aca="false">G34/D34</f>
        <v>33.1394508090043</v>
      </c>
      <c r="L34" s="10" t="n">
        <f aca="false">H34/D34</f>
        <v>2.15126050420168</v>
      </c>
    </row>
    <row r="35" customFormat="false" ht="15" hidden="false" customHeight="false" outlineLevel="0" collapsed="false">
      <c r="A35" s="4" t="s">
        <v>45</v>
      </c>
      <c r="B35" s="5" t="s">
        <v>21</v>
      </c>
      <c r="C35" s="5" t="s">
        <v>22</v>
      </c>
      <c r="D35" s="6" t="n">
        <v>16.3</v>
      </c>
      <c r="E35" s="7" t="n">
        <v>412</v>
      </c>
      <c r="F35" s="7" t="n">
        <v>2240</v>
      </c>
      <c r="G35" s="8" t="n">
        <f aca="false">F35/4.184</f>
        <v>535.372848948375</v>
      </c>
      <c r="H35" s="7" t="n">
        <v>33.2</v>
      </c>
      <c r="I35" s="9" t="n">
        <f aca="false">E35/D35</f>
        <v>25.2760736196319</v>
      </c>
      <c r="J35" s="8" t="n">
        <f aca="false">F35/D35</f>
        <v>137.423312883436</v>
      </c>
      <c r="K35" s="8" t="n">
        <f aca="false">G35/D35</f>
        <v>32.8449600581825</v>
      </c>
      <c r="L35" s="10" t="n">
        <f aca="false">H35/D35</f>
        <v>2.03680981595092</v>
      </c>
    </row>
    <row r="36" customFormat="false" ht="15" hidden="false" customHeight="false" outlineLevel="0" collapsed="false">
      <c r="A36" s="4" t="s">
        <v>33</v>
      </c>
      <c r="B36" s="5" t="s">
        <v>30</v>
      </c>
      <c r="C36" s="5"/>
      <c r="D36" s="6" t="n">
        <v>9.9</v>
      </c>
      <c r="E36" s="7" t="n">
        <v>222</v>
      </c>
      <c r="F36" s="7" t="n">
        <v>1360</v>
      </c>
      <c r="G36" s="8" t="n">
        <f aca="false">F36/4.184</f>
        <v>325.047801147228</v>
      </c>
      <c r="H36" s="7" t="n">
        <v>18.6</v>
      </c>
      <c r="I36" s="9" t="n">
        <f aca="false">E36/D36</f>
        <v>22.4242424242424</v>
      </c>
      <c r="J36" s="8" t="n">
        <f aca="false">F36/D36</f>
        <v>137.373737373737</v>
      </c>
      <c r="K36" s="8" t="n">
        <f aca="false">G36/D36</f>
        <v>32.8331112269927</v>
      </c>
      <c r="L36" s="10" t="n">
        <f aca="false">H36/D36</f>
        <v>1.87878787878788</v>
      </c>
    </row>
    <row r="37" customFormat="false" ht="15" hidden="false" customHeight="false" outlineLevel="0" collapsed="false">
      <c r="A37" s="4" t="s">
        <v>28</v>
      </c>
      <c r="B37" s="5" t="s">
        <v>30</v>
      </c>
      <c r="C37" s="5"/>
      <c r="D37" s="6" t="n">
        <v>8</v>
      </c>
      <c r="E37" s="7" t="n">
        <v>201</v>
      </c>
      <c r="F37" s="7" t="n">
        <v>1070</v>
      </c>
      <c r="G37" s="8" t="n">
        <f aca="false">F37/4.184</f>
        <v>255.736137667304</v>
      </c>
      <c r="H37" s="7" t="n">
        <v>15.5</v>
      </c>
      <c r="I37" s="9" t="n">
        <f aca="false">E37/D37</f>
        <v>25.125</v>
      </c>
      <c r="J37" s="8" t="n">
        <f aca="false">F37/D37</f>
        <v>133.75</v>
      </c>
      <c r="K37" s="8" t="n">
        <f aca="false">G37/D37</f>
        <v>31.967017208413</v>
      </c>
      <c r="L37" s="10" t="n">
        <f aca="false">H37/D37</f>
        <v>1.9375</v>
      </c>
    </row>
    <row r="38" customFormat="false" ht="15" hidden="false" customHeight="false" outlineLevel="0" collapsed="false">
      <c r="A38" s="4" t="s">
        <v>43</v>
      </c>
      <c r="B38" s="5" t="s">
        <v>30</v>
      </c>
      <c r="C38" s="5"/>
      <c r="D38" s="6" t="n">
        <v>11.9</v>
      </c>
      <c r="E38" s="7" t="n">
        <v>236</v>
      </c>
      <c r="F38" s="7" t="n">
        <v>1520</v>
      </c>
      <c r="G38" s="8" t="n">
        <f aca="false">F38/4.184</f>
        <v>363.288718929254</v>
      </c>
      <c r="H38" s="7" t="n">
        <v>24.1</v>
      </c>
      <c r="I38" s="9" t="n">
        <f aca="false">E38/D38</f>
        <v>19.8319327731092</v>
      </c>
      <c r="J38" s="8" t="n">
        <f aca="false">F38/D38</f>
        <v>127.731092436975</v>
      </c>
      <c r="K38" s="8" t="n">
        <f aca="false">G38/D38</f>
        <v>30.5284637755676</v>
      </c>
      <c r="L38" s="10" t="n">
        <f aca="false">H38/D38</f>
        <v>2.02521008403361</v>
      </c>
    </row>
    <row r="39" customFormat="false" ht="15" hidden="false" customHeight="false" outlineLevel="0" collapsed="false">
      <c r="A39" s="4" t="s">
        <v>34</v>
      </c>
      <c r="B39" s="5" t="s">
        <v>30</v>
      </c>
      <c r="C39" s="5"/>
      <c r="D39" s="6" t="n">
        <v>10.9</v>
      </c>
      <c r="E39" s="7" t="n">
        <v>243</v>
      </c>
      <c r="F39" s="7" t="n">
        <v>1300</v>
      </c>
      <c r="G39" s="8" t="n">
        <f aca="false">F39/4.184</f>
        <v>310.707456978967</v>
      </c>
      <c r="H39" s="7" t="n">
        <v>22.8</v>
      </c>
      <c r="I39" s="9" t="n">
        <f aca="false">E39/D39</f>
        <v>22.2935779816514</v>
      </c>
      <c r="J39" s="8" t="n">
        <f aca="false">F39/D39</f>
        <v>119.266055045872</v>
      </c>
      <c r="K39" s="8" t="n">
        <f aca="false">G39/D39</f>
        <v>28.5052712824741</v>
      </c>
      <c r="L39" s="10" t="n">
        <f aca="false">H39/D39</f>
        <v>2.09174311926606</v>
      </c>
    </row>
    <row r="40" customFormat="false" ht="15" hidden="false" customHeight="false" outlineLevel="0" collapsed="false">
      <c r="A40" s="4" t="s">
        <v>38</v>
      </c>
      <c r="B40" s="5" t="s">
        <v>30</v>
      </c>
      <c r="C40" s="5"/>
      <c r="D40" s="6" t="n">
        <v>9.5</v>
      </c>
      <c r="E40" s="7" t="n">
        <v>210</v>
      </c>
      <c r="F40" s="7" t="n">
        <v>1100</v>
      </c>
      <c r="G40" s="8" t="n">
        <f aca="false">F40/4.184</f>
        <v>262.906309751434</v>
      </c>
      <c r="H40" s="7" t="n">
        <v>17.2</v>
      </c>
      <c r="I40" s="9" t="n">
        <f aca="false">E40/D40</f>
        <v>22.1052631578947</v>
      </c>
      <c r="J40" s="8" t="n">
        <f aca="false">F40/D40</f>
        <v>115.789473684211</v>
      </c>
      <c r="K40" s="8" t="n">
        <f aca="false">G40/D40</f>
        <v>27.6743483948878</v>
      </c>
      <c r="L40" s="10" t="n">
        <f aca="false">H40/D40</f>
        <v>1.81052631578947</v>
      </c>
    </row>
    <row r="41" customFormat="false" ht="15" hidden="false" customHeight="false" outlineLevel="0" collapsed="false">
      <c r="A41" s="4" t="s">
        <v>35</v>
      </c>
      <c r="B41" s="5" t="s">
        <v>30</v>
      </c>
      <c r="C41" s="5"/>
      <c r="D41" s="6" t="n">
        <v>10.9</v>
      </c>
      <c r="E41" s="7" t="n">
        <v>243</v>
      </c>
      <c r="F41" s="7" t="n">
        <v>1240</v>
      </c>
      <c r="G41" s="8" t="n">
        <f aca="false">F41/4.184</f>
        <v>296.367112810707</v>
      </c>
      <c r="H41" s="7" t="n">
        <v>23.1</v>
      </c>
      <c r="I41" s="9" t="n">
        <f aca="false">E41/D41</f>
        <v>22.2935779816514</v>
      </c>
      <c r="J41" s="8" t="n">
        <f aca="false">F41/D41</f>
        <v>113.761467889908</v>
      </c>
      <c r="K41" s="8" t="n">
        <f aca="false">G41/D41</f>
        <v>27.1896433771291</v>
      </c>
      <c r="L41" s="10" t="n">
        <f aca="false">H41/D41</f>
        <v>2.11926605504587</v>
      </c>
    </row>
    <row r="42" customFormat="false" ht="15" hidden="false" customHeight="false" outlineLevel="0" collapsed="false">
      <c r="A42" s="4" t="s">
        <v>45</v>
      </c>
      <c r="B42" s="5" t="s">
        <v>30</v>
      </c>
      <c r="C42" s="5"/>
      <c r="D42" s="6" t="n">
        <v>10.5</v>
      </c>
      <c r="E42" s="7" t="n">
        <v>206</v>
      </c>
      <c r="F42" s="7" t="n">
        <v>1120</v>
      </c>
      <c r="G42" s="8" t="n">
        <f aca="false">F42/4.184</f>
        <v>267.686424474187</v>
      </c>
      <c r="H42" s="7" t="n">
        <v>16.6</v>
      </c>
      <c r="I42" s="9" t="n">
        <f aca="false">E42/D42</f>
        <v>19.6190476190476</v>
      </c>
      <c r="J42" s="8" t="n">
        <f aca="false">F42/D42</f>
        <v>106.666666666667</v>
      </c>
      <c r="K42" s="8" t="n">
        <f aca="false">G42/D42</f>
        <v>25.4939451880178</v>
      </c>
      <c r="L42" s="10" t="n">
        <f aca="false">H42/D42</f>
        <v>1.58095238095238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17</v>
      </c>
      <c r="B5" s="5" t="s">
        <v>18</v>
      </c>
      <c r="C5" s="5" t="s">
        <v>19</v>
      </c>
      <c r="D5" s="6" t="n">
        <v>8</v>
      </c>
      <c r="E5" s="7" t="n">
        <v>432</v>
      </c>
      <c r="F5" s="7" t="n">
        <v>3140</v>
      </c>
      <c r="G5" s="8" t="n">
        <f aca="false">F5/4.184</f>
        <v>750.478011472275</v>
      </c>
      <c r="H5" s="7" t="n">
        <v>40.4</v>
      </c>
      <c r="I5" s="9" t="n">
        <f aca="false">E5/D5</f>
        <v>54</v>
      </c>
      <c r="J5" s="8" t="n">
        <f aca="false">F5/D5</f>
        <v>392.5</v>
      </c>
      <c r="K5" s="8" t="n">
        <f aca="false">G5/D5</f>
        <v>93.8097514340344</v>
      </c>
      <c r="L5" s="10" t="n">
        <f aca="false">H5/D5</f>
        <v>5.05</v>
      </c>
    </row>
    <row r="6" customFormat="false" ht="15" hidden="false" customHeight="false" outlineLevel="0" collapsed="false">
      <c r="A6" s="4" t="s">
        <v>20</v>
      </c>
      <c r="B6" s="5" t="s">
        <v>21</v>
      </c>
      <c r="C6" s="5" t="s">
        <v>22</v>
      </c>
      <c r="D6" s="6" t="n">
        <v>11.7</v>
      </c>
      <c r="E6" s="7" t="n">
        <v>458</v>
      </c>
      <c r="F6" s="7" t="n">
        <v>3460</v>
      </c>
      <c r="G6" s="8" t="n">
        <f aca="false">F6/4.184</f>
        <v>826.959847036329</v>
      </c>
      <c r="H6" s="7" t="n">
        <v>39.8</v>
      </c>
      <c r="I6" s="9" t="n">
        <f aca="false">E6/D6</f>
        <v>39.1452991452992</v>
      </c>
      <c r="J6" s="8" t="n">
        <f aca="false">F6/D6</f>
        <v>295.726495726496</v>
      </c>
      <c r="K6" s="8" t="n">
        <f aca="false">G6/D6</f>
        <v>70.6803288065238</v>
      </c>
      <c r="L6" s="10" t="n">
        <f aca="false">H6/D6</f>
        <v>3.4017094017094</v>
      </c>
    </row>
    <row r="7" customFormat="false" ht="15" hidden="false" customHeight="false" outlineLevel="0" collapsed="false">
      <c r="A7" s="4" t="s">
        <v>39</v>
      </c>
      <c r="B7" s="5" t="s">
        <v>15</v>
      </c>
      <c r="C7" s="5" t="s">
        <v>40</v>
      </c>
      <c r="D7" s="6" t="n">
        <v>4.5</v>
      </c>
      <c r="E7" s="7" t="n">
        <v>123</v>
      </c>
      <c r="F7" s="7" t="n">
        <v>1540</v>
      </c>
      <c r="G7" s="8" t="n">
        <f aca="false">F7/4.184</f>
        <v>368.068833652008</v>
      </c>
      <c r="H7" s="7" t="n">
        <v>14.5</v>
      </c>
      <c r="I7" s="9" t="n">
        <f aca="false">E7/D7</f>
        <v>27.3333333333333</v>
      </c>
      <c r="J7" s="8" t="n">
        <f aca="false">F7/D7</f>
        <v>342.222222222222</v>
      </c>
      <c r="K7" s="8" t="n">
        <f aca="false">G7/D7</f>
        <v>81.7930741448906</v>
      </c>
      <c r="L7" s="10" t="n">
        <f aca="false">H7/D7</f>
        <v>3.22222222222222</v>
      </c>
    </row>
    <row r="8" customFormat="false" ht="15" hidden="false" customHeight="false" outlineLevel="0" collapsed="false">
      <c r="A8" s="4" t="s">
        <v>25</v>
      </c>
      <c r="B8" s="5" t="s">
        <v>15</v>
      </c>
      <c r="C8" s="5" t="s">
        <v>26</v>
      </c>
      <c r="D8" s="6" t="n">
        <v>5.5</v>
      </c>
      <c r="E8" s="7" t="n">
        <v>194</v>
      </c>
      <c r="F8" s="7" t="n">
        <v>1350</v>
      </c>
      <c r="G8" s="8" t="n">
        <f aca="false">F8/4.184</f>
        <v>322.657743785851</v>
      </c>
      <c r="H8" s="7" t="n">
        <v>17.5</v>
      </c>
      <c r="I8" s="9" t="n">
        <f aca="false">E8/D8</f>
        <v>35.2727272727273</v>
      </c>
      <c r="J8" s="8" t="n">
        <f aca="false">F8/D8</f>
        <v>245.454545454545</v>
      </c>
      <c r="K8" s="8" t="n">
        <f aca="false">G8/D8</f>
        <v>58.6650443247002</v>
      </c>
      <c r="L8" s="10" t="n">
        <f aca="false">H8/D8</f>
        <v>3.18181818181818</v>
      </c>
    </row>
    <row r="9" customFormat="false" ht="15" hidden="false" customHeight="false" outlineLevel="0" collapsed="false">
      <c r="A9" s="4" t="s">
        <v>31</v>
      </c>
      <c r="B9" s="5" t="s">
        <v>21</v>
      </c>
      <c r="C9" s="5" t="s">
        <v>22</v>
      </c>
      <c r="D9" s="6" t="n">
        <v>18.4</v>
      </c>
      <c r="E9" s="7" t="n">
        <v>554</v>
      </c>
      <c r="F9" s="7" t="n">
        <v>3680</v>
      </c>
      <c r="G9" s="8" t="n">
        <f aca="false">F9/4.184</f>
        <v>879.541108986616</v>
      </c>
      <c r="H9" s="7" t="n">
        <v>58</v>
      </c>
      <c r="I9" s="9" t="n">
        <f aca="false">E9/D9</f>
        <v>30.1086956521739</v>
      </c>
      <c r="J9" s="8" t="n">
        <f aca="false">F9/D9</f>
        <v>200</v>
      </c>
      <c r="K9" s="8" t="n">
        <f aca="false">G9/D9</f>
        <v>47.8011472275335</v>
      </c>
      <c r="L9" s="10" t="n">
        <f aca="false">H9/D9</f>
        <v>3.15217391304348</v>
      </c>
    </row>
    <row r="10" customFormat="false" ht="15" hidden="false" customHeight="false" outlineLevel="0" collapsed="false">
      <c r="A10" s="4" t="s">
        <v>23</v>
      </c>
      <c r="B10" s="5" t="s">
        <v>21</v>
      </c>
      <c r="C10" s="5" t="s">
        <v>22</v>
      </c>
      <c r="D10" s="6" t="n">
        <v>15.3</v>
      </c>
      <c r="E10" s="7" t="n">
        <v>594</v>
      </c>
      <c r="F10" s="7" t="n">
        <v>3840</v>
      </c>
      <c r="G10" s="8" t="n">
        <f aca="false">F10/4.184</f>
        <v>917.782026768642</v>
      </c>
      <c r="H10" s="7" t="n">
        <v>44</v>
      </c>
      <c r="I10" s="9" t="n">
        <f aca="false">E10/D10</f>
        <v>38.8235294117647</v>
      </c>
      <c r="J10" s="8" t="n">
        <f aca="false">F10/D10</f>
        <v>250.980392156863</v>
      </c>
      <c r="K10" s="8" t="n">
        <f aca="false">G10/D10</f>
        <v>59.9857533835714</v>
      </c>
      <c r="L10" s="10" t="n">
        <f aca="false">H10/D10</f>
        <v>2.87581699346405</v>
      </c>
    </row>
    <row r="11" customFormat="false" ht="15" hidden="false" customHeight="false" outlineLevel="0" collapsed="false">
      <c r="A11" s="4" t="s">
        <v>42</v>
      </c>
      <c r="B11" s="5" t="s">
        <v>21</v>
      </c>
      <c r="C11" s="5" t="s">
        <v>22</v>
      </c>
      <c r="D11" s="6" t="n">
        <v>18.4</v>
      </c>
      <c r="E11" s="7" t="n">
        <v>490</v>
      </c>
      <c r="F11" s="7" t="n">
        <v>3300</v>
      </c>
      <c r="G11" s="8" t="n">
        <f aca="false">F11/4.184</f>
        <v>788.718929254302</v>
      </c>
      <c r="H11" s="7" t="n">
        <v>51.2</v>
      </c>
      <c r="I11" s="9" t="n">
        <f aca="false">E11/D11</f>
        <v>26.6304347826087</v>
      </c>
      <c r="J11" s="8" t="n">
        <f aca="false">F11/D11</f>
        <v>179.347826086957</v>
      </c>
      <c r="K11" s="8" t="n">
        <f aca="false">G11/D11</f>
        <v>42.8651591986034</v>
      </c>
      <c r="L11" s="10" t="n">
        <f aca="false">H11/D11</f>
        <v>2.78260869565217</v>
      </c>
    </row>
    <row r="12" customFormat="false" ht="15" hidden="false" customHeight="false" outlineLevel="0" collapsed="false">
      <c r="A12" s="4" t="s">
        <v>35</v>
      </c>
      <c r="B12" s="5" t="s">
        <v>21</v>
      </c>
      <c r="C12" s="5" t="s">
        <v>22</v>
      </c>
      <c r="D12" s="6" t="n">
        <v>16.9</v>
      </c>
      <c r="E12" s="7" t="n">
        <v>486</v>
      </c>
      <c r="F12" s="7" t="n">
        <v>2480</v>
      </c>
      <c r="G12" s="8" t="n">
        <f aca="false">F12/4.184</f>
        <v>592.734225621415</v>
      </c>
      <c r="H12" s="7" t="n">
        <v>46.2</v>
      </c>
      <c r="I12" s="9" t="n">
        <f aca="false">E12/D12</f>
        <v>28.7573964497041</v>
      </c>
      <c r="J12" s="8" t="n">
        <f aca="false">F12/D12</f>
        <v>146.745562130178</v>
      </c>
      <c r="K12" s="8" t="n">
        <f aca="false">G12/D12</f>
        <v>35.0730311018589</v>
      </c>
      <c r="L12" s="10" t="n">
        <f aca="false">H12/D12</f>
        <v>2.73372781065089</v>
      </c>
    </row>
    <row r="13" customFormat="false" ht="15" hidden="false" customHeight="false" outlineLevel="0" collapsed="false">
      <c r="A13" s="4" t="s">
        <v>34</v>
      </c>
      <c r="B13" s="5" t="s">
        <v>21</v>
      </c>
      <c r="C13" s="5" t="s">
        <v>22</v>
      </c>
      <c r="D13" s="6" t="n">
        <v>16.9</v>
      </c>
      <c r="E13" s="7" t="n">
        <v>486</v>
      </c>
      <c r="F13" s="7" t="n">
        <v>2600</v>
      </c>
      <c r="G13" s="8" t="n">
        <f aca="false">F13/4.184</f>
        <v>621.414913957935</v>
      </c>
      <c r="H13" s="7" t="n">
        <v>45.6</v>
      </c>
      <c r="I13" s="9" t="n">
        <f aca="false">E13/D13</f>
        <v>28.7573964497041</v>
      </c>
      <c r="J13" s="8" t="n">
        <f aca="false">F13/D13</f>
        <v>153.846153846154</v>
      </c>
      <c r="K13" s="8" t="n">
        <f aca="false">G13/D13</f>
        <v>36.7701132519488</v>
      </c>
      <c r="L13" s="10" t="n">
        <f aca="false">H13/D13</f>
        <v>2.69822485207101</v>
      </c>
    </row>
    <row r="14" customFormat="false" ht="15" hidden="false" customHeight="false" outlineLevel="0" collapsed="false">
      <c r="A14" s="4" t="s">
        <v>20</v>
      </c>
      <c r="B14" s="5" t="s">
        <v>30</v>
      </c>
      <c r="C14" s="5"/>
      <c r="D14" s="6" t="n">
        <v>7.55</v>
      </c>
      <c r="E14" s="7" t="n">
        <v>229</v>
      </c>
      <c r="F14" s="7" t="n">
        <v>1730</v>
      </c>
      <c r="G14" s="8" t="n">
        <f aca="false">F14/4.184</f>
        <v>413.479923518164</v>
      </c>
      <c r="H14" s="7" t="n">
        <v>19.9</v>
      </c>
      <c r="I14" s="9" t="n">
        <f aca="false">E14/D14</f>
        <v>30.3311258278146</v>
      </c>
      <c r="J14" s="8" t="n">
        <f aca="false">F14/D14</f>
        <v>229.139072847682</v>
      </c>
      <c r="K14" s="8" t="n">
        <f aca="false">G14/D14</f>
        <v>54.7655527838628</v>
      </c>
      <c r="L14" s="10" t="n">
        <f aca="false">H14/D14</f>
        <v>2.63576158940397</v>
      </c>
    </row>
    <row r="15" customFormat="false" ht="15" hidden="false" customHeight="false" outlineLevel="0" collapsed="false">
      <c r="A15" s="4" t="s">
        <v>43</v>
      </c>
      <c r="B15" s="5" t="s">
        <v>21</v>
      </c>
      <c r="C15" s="5" t="s">
        <v>22</v>
      </c>
      <c r="D15" s="6" t="n">
        <v>18.4</v>
      </c>
      <c r="E15" s="7" t="n">
        <v>472</v>
      </c>
      <c r="F15" s="7" t="n">
        <v>3040</v>
      </c>
      <c r="G15" s="8" t="n">
        <f aca="false">F15/4.184</f>
        <v>726.577437858509</v>
      </c>
      <c r="H15" s="7" t="n">
        <v>48.2</v>
      </c>
      <c r="I15" s="9" t="n">
        <f aca="false">E15/D15</f>
        <v>25.6521739130435</v>
      </c>
      <c r="J15" s="8" t="n">
        <f aca="false">F15/D15</f>
        <v>165.217391304348</v>
      </c>
      <c r="K15" s="8" t="n">
        <f aca="false">G15/D15</f>
        <v>39.4879042314407</v>
      </c>
      <c r="L15" s="10" t="n">
        <f aca="false">H15/D15</f>
        <v>2.6195652173913</v>
      </c>
    </row>
    <row r="16" customFormat="false" ht="15" hidden="false" customHeight="false" outlineLevel="0" collapsed="false">
      <c r="A16" s="4" t="s">
        <v>14</v>
      </c>
      <c r="B16" s="5" t="s">
        <v>15</v>
      </c>
      <c r="C16" s="5" t="s">
        <v>16</v>
      </c>
      <c r="D16" s="6" t="n">
        <v>2.5</v>
      </c>
      <c r="E16" s="7" t="n">
        <v>190</v>
      </c>
      <c r="F16" s="7" t="n">
        <v>1170</v>
      </c>
      <c r="G16" s="8" t="n">
        <f aca="false">F16/4.184</f>
        <v>279.636711281071</v>
      </c>
      <c r="H16" s="7" t="n">
        <v>6.5</v>
      </c>
      <c r="I16" s="9" t="n">
        <f aca="false">E16/D16</f>
        <v>76</v>
      </c>
      <c r="J16" s="8" t="n">
        <f aca="false">F16/D16</f>
        <v>468</v>
      </c>
      <c r="K16" s="8" t="n">
        <f aca="false">G16/D16</f>
        <v>111.854684512428</v>
      </c>
      <c r="L16" s="10" t="n">
        <f aca="false">H16/D16</f>
        <v>2.6</v>
      </c>
    </row>
    <row r="17" customFormat="false" ht="15" hidden="false" customHeight="false" outlineLevel="0" collapsed="false">
      <c r="A17" s="4" t="s">
        <v>28</v>
      </c>
      <c r="B17" s="5" t="s">
        <v>21</v>
      </c>
      <c r="C17" s="5" t="s">
        <v>22</v>
      </c>
      <c r="D17" s="6" t="n">
        <v>12.4</v>
      </c>
      <c r="E17" s="7" t="n">
        <v>402</v>
      </c>
      <c r="F17" s="7" t="n">
        <v>2140</v>
      </c>
      <c r="G17" s="8" t="n">
        <f aca="false">F17/4.184</f>
        <v>511.472275334608</v>
      </c>
      <c r="H17" s="7" t="n">
        <v>31</v>
      </c>
      <c r="I17" s="9" t="n">
        <f aca="false">E17/D17</f>
        <v>32.4193548387097</v>
      </c>
      <c r="J17" s="8" t="n">
        <f aca="false">F17/D17</f>
        <v>172.58064516129</v>
      </c>
      <c r="K17" s="8" t="n">
        <f aca="false">G17/D17</f>
        <v>41.2477641398877</v>
      </c>
      <c r="L17" s="10" t="n">
        <f aca="false">H17/D17</f>
        <v>2.5</v>
      </c>
    </row>
    <row r="18" customFormat="false" ht="15" hidden="false" customHeight="false" outlineLevel="0" collapsed="false">
      <c r="A18" s="4" t="s">
        <v>31</v>
      </c>
      <c r="B18" s="5" t="s">
        <v>30</v>
      </c>
      <c r="C18" s="5"/>
      <c r="D18" s="6" t="n">
        <v>11.9</v>
      </c>
      <c r="E18" s="7" t="n">
        <v>277</v>
      </c>
      <c r="F18" s="7" t="n">
        <v>1840</v>
      </c>
      <c r="G18" s="8" t="n">
        <f aca="false">F18/4.184</f>
        <v>439.770554493308</v>
      </c>
      <c r="H18" s="7" t="n">
        <v>29</v>
      </c>
      <c r="I18" s="9" t="n">
        <f aca="false">E18/D18</f>
        <v>23.2773109243697</v>
      </c>
      <c r="J18" s="8" t="n">
        <f aca="false">F18/D18</f>
        <v>154.621848739496</v>
      </c>
      <c r="K18" s="8" t="n">
        <f aca="false">G18/D18</f>
        <v>36.9555087809502</v>
      </c>
      <c r="L18" s="10" t="n">
        <f aca="false">H18/D18</f>
        <v>2.43697478991597</v>
      </c>
    </row>
    <row r="19" customFormat="false" ht="15" hidden="false" customHeight="false" outlineLevel="0" collapsed="false">
      <c r="A19" s="4" t="s">
        <v>33</v>
      </c>
      <c r="B19" s="5" t="s">
        <v>21</v>
      </c>
      <c r="C19" s="5" t="s">
        <v>22</v>
      </c>
      <c r="D19" s="6" t="n">
        <v>15.3</v>
      </c>
      <c r="E19" s="7" t="n">
        <v>444</v>
      </c>
      <c r="F19" s="7" t="n">
        <v>2720</v>
      </c>
      <c r="G19" s="8" t="n">
        <f aca="false">F19/4.184</f>
        <v>650.095602294455</v>
      </c>
      <c r="H19" s="7" t="n">
        <v>37.2</v>
      </c>
      <c r="I19" s="9" t="n">
        <f aca="false">E19/D19</f>
        <v>29.0196078431373</v>
      </c>
      <c r="J19" s="8" t="n">
        <f aca="false">F19/D19</f>
        <v>177.777777777778</v>
      </c>
      <c r="K19" s="8" t="n">
        <f aca="false">G19/D19</f>
        <v>42.4899086466964</v>
      </c>
      <c r="L19" s="10" t="n">
        <f aca="false">H19/D19</f>
        <v>2.43137254901961</v>
      </c>
    </row>
    <row r="20" customFormat="false" ht="15" hidden="false" customHeight="false" outlineLevel="0" collapsed="false">
      <c r="A20" s="4" t="s">
        <v>24</v>
      </c>
      <c r="B20" s="5" t="s">
        <v>21</v>
      </c>
      <c r="C20" s="5" t="s">
        <v>22</v>
      </c>
      <c r="D20" s="6" t="n">
        <v>13.2</v>
      </c>
      <c r="E20" s="7" t="n">
        <v>496</v>
      </c>
      <c r="F20" s="7" t="n">
        <v>3380</v>
      </c>
      <c r="G20" s="8" t="n">
        <f aca="false">F20/4.184</f>
        <v>807.839388145315</v>
      </c>
      <c r="H20" s="7" t="n">
        <v>32</v>
      </c>
      <c r="I20" s="9" t="n">
        <f aca="false">E20/D20</f>
        <v>37.5757575757576</v>
      </c>
      <c r="J20" s="8" t="n">
        <f aca="false">F20/D20</f>
        <v>256.060606060606</v>
      </c>
      <c r="K20" s="8" t="n">
        <f aca="false">G20/D20</f>
        <v>61.1999536473724</v>
      </c>
      <c r="L20" s="10" t="n">
        <f aca="false">H20/D20</f>
        <v>2.42424242424242</v>
      </c>
    </row>
    <row r="21" customFormat="false" ht="15" hidden="false" customHeight="false" outlineLevel="0" collapsed="false">
      <c r="A21" s="4" t="s">
        <v>44</v>
      </c>
      <c r="B21" s="5" t="s">
        <v>21</v>
      </c>
      <c r="C21" s="5" t="s">
        <v>22</v>
      </c>
      <c r="D21" s="6" t="n">
        <v>16.9</v>
      </c>
      <c r="E21" s="7" t="n">
        <v>432</v>
      </c>
      <c r="F21" s="7" t="n">
        <v>3140</v>
      </c>
      <c r="G21" s="8" t="n">
        <f aca="false">F21/4.184</f>
        <v>750.478011472275</v>
      </c>
      <c r="H21" s="7" t="n">
        <v>40.4</v>
      </c>
      <c r="I21" s="9" t="n">
        <f aca="false">E21/D21</f>
        <v>25.5621301775148</v>
      </c>
      <c r="J21" s="8" t="n">
        <f aca="false">F21/D21</f>
        <v>185.798816568047</v>
      </c>
      <c r="K21" s="8" t="n">
        <f aca="false">G21/D21</f>
        <v>44.4069829273536</v>
      </c>
      <c r="L21" s="10" t="n">
        <f aca="false">H21/D21</f>
        <v>2.3905325443787</v>
      </c>
    </row>
    <row r="22" customFormat="false" ht="15" hidden="false" customHeight="false" outlineLevel="0" collapsed="false">
      <c r="A22" s="4" t="s">
        <v>38</v>
      </c>
      <c r="B22" s="5" t="s">
        <v>21</v>
      </c>
      <c r="C22" s="5" t="s">
        <v>22</v>
      </c>
      <c r="D22" s="6" t="n">
        <v>14.7</v>
      </c>
      <c r="E22" s="7" t="n">
        <v>420</v>
      </c>
      <c r="F22" s="7" t="n">
        <v>2200</v>
      </c>
      <c r="G22" s="8" t="n">
        <f aca="false">F22/4.184</f>
        <v>525.812619502868</v>
      </c>
      <c r="H22" s="7" t="n">
        <v>34.4</v>
      </c>
      <c r="I22" s="9" t="n">
        <f aca="false">E22/D22</f>
        <v>28.5714285714286</v>
      </c>
      <c r="J22" s="8" t="n">
        <f aca="false">F22/D22</f>
        <v>149.659863945578</v>
      </c>
      <c r="K22" s="8" t="n">
        <f aca="false">G22/D22</f>
        <v>35.7695659525761</v>
      </c>
      <c r="L22" s="10" t="n">
        <f aca="false">H22/D22</f>
        <v>2.34013605442177</v>
      </c>
    </row>
    <row r="23" customFormat="false" ht="15" hidden="false" customHeight="false" outlineLevel="0" collapsed="false">
      <c r="A23" s="4" t="s">
        <v>23</v>
      </c>
      <c r="B23" s="5" t="s">
        <v>30</v>
      </c>
      <c r="C23" s="5"/>
      <c r="D23" s="6" t="n">
        <v>9.9</v>
      </c>
      <c r="E23" s="7" t="n">
        <v>297</v>
      </c>
      <c r="F23" s="7" t="n">
        <v>1920</v>
      </c>
      <c r="G23" s="8" t="n">
        <f aca="false">F23/4.184</f>
        <v>458.891013384321</v>
      </c>
      <c r="H23" s="7" t="n">
        <v>22</v>
      </c>
      <c r="I23" s="9" t="n">
        <f aca="false">E23/D23</f>
        <v>30</v>
      </c>
      <c r="J23" s="8" t="n">
        <f aca="false">F23/D23</f>
        <v>193.939393939394</v>
      </c>
      <c r="K23" s="8" t="n">
        <f aca="false">G23/D23</f>
        <v>46.3526276145779</v>
      </c>
      <c r="L23" s="10" t="n">
        <f aca="false">H23/D23</f>
        <v>2.22222222222222</v>
      </c>
    </row>
    <row r="24" customFormat="false" ht="15" hidden="false" customHeight="false" outlineLevel="0" collapsed="false">
      <c r="A24" s="4" t="s">
        <v>36</v>
      </c>
      <c r="B24" s="5" t="s">
        <v>18</v>
      </c>
      <c r="C24" s="5" t="s">
        <v>37</v>
      </c>
      <c r="D24" s="6" t="n">
        <v>7</v>
      </c>
      <c r="E24" s="7" t="n">
        <v>201</v>
      </c>
      <c r="F24" s="7" t="n">
        <v>1070</v>
      </c>
      <c r="G24" s="8" t="n">
        <f aca="false">F24/4.184</f>
        <v>255.736137667304</v>
      </c>
      <c r="H24" s="7" t="n">
        <v>15.5</v>
      </c>
      <c r="I24" s="9" t="n">
        <f aca="false">E24/D24</f>
        <v>28.7142857142857</v>
      </c>
      <c r="J24" s="8" t="n">
        <f aca="false">F24/D24</f>
        <v>152.857142857143</v>
      </c>
      <c r="K24" s="8" t="n">
        <f aca="false">G24/D24</f>
        <v>36.533733952472</v>
      </c>
      <c r="L24" s="10" t="n">
        <f aca="false">H24/D24</f>
        <v>2.21428571428571</v>
      </c>
    </row>
    <row r="25" customFormat="false" ht="15" hidden="false" customHeight="false" outlineLevel="0" collapsed="false">
      <c r="A25" s="4" t="s">
        <v>41</v>
      </c>
      <c r="B25" s="5" t="s">
        <v>21</v>
      </c>
      <c r="C25" s="5" t="s">
        <v>22</v>
      </c>
      <c r="D25" s="6" t="n">
        <v>16.3</v>
      </c>
      <c r="E25" s="7" t="n">
        <v>436</v>
      </c>
      <c r="F25" s="7" t="n">
        <v>2920</v>
      </c>
      <c r="G25" s="8" t="n">
        <f aca="false">F25/4.184</f>
        <v>697.896749521989</v>
      </c>
      <c r="H25" s="7" t="n">
        <v>36</v>
      </c>
      <c r="I25" s="9" t="n">
        <f aca="false">E25/D25</f>
        <v>26.7484662576687</v>
      </c>
      <c r="J25" s="8" t="n">
        <f aca="false">F25/D25</f>
        <v>179.141104294479</v>
      </c>
      <c r="K25" s="8" t="n">
        <f aca="false">G25/D25</f>
        <v>42.8157515044165</v>
      </c>
      <c r="L25" s="10" t="n">
        <f aca="false">H25/D25</f>
        <v>2.20858895705521</v>
      </c>
    </row>
    <row r="26" customFormat="false" ht="15" hidden="false" customHeight="false" outlineLevel="0" collapsed="false">
      <c r="A26" s="4" t="s">
        <v>42</v>
      </c>
      <c r="B26" s="5" t="s">
        <v>30</v>
      </c>
      <c r="C26" s="5"/>
      <c r="D26" s="6" t="n">
        <v>11.9</v>
      </c>
      <c r="E26" s="7" t="n">
        <v>245</v>
      </c>
      <c r="F26" s="7" t="n">
        <v>1650</v>
      </c>
      <c r="G26" s="8" t="n">
        <f aca="false">F26/4.184</f>
        <v>394.359464627151</v>
      </c>
      <c r="H26" s="7" t="n">
        <v>25.6</v>
      </c>
      <c r="I26" s="9" t="n">
        <f aca="false">E26/D26</f>
        <v>20.5882352941176</v>
      </c>
      <c r="J26" s="8" t="n">
        <f aca="false">F26/D26</f>
        <v>138.655462184874</v>
      </c>
      <c r="K26" s="8" t="n">
        <f aca="false">G26/D26</f>
        <v>33.1394508090043</v>
      </c>
      <c r="L26" s="10" t="n">
        <f aca="false">H26/D26</f>
        <v>2.15126050420168</v>
      </c>
    </row>
    <row r="27" customFormat="false" ht="15" hidden="false" customHeight="false" outlineLevel="0" collapsed="false">
      <c r="A27" s="4" t="s">
        <v>35</v>
      </c>
      <c r="B27" s="5" t="s">
        <v>30</v>
      </c>
      <c r="C27" s="5"/>
      <c r="D27" s="6" t="n">
        <v>10.9</v>
      </c>
      <c r="E27" s="7" t="n">
        <v>243</v>
      </c>
      <c r="F27" s="7" t="n">
        <v>1240</v>
      </c>
      <c r="G27" s="8" t="n">
        <f aca="false">F27/4.184</f>
        <v>296.367112810707</v>
      </c>
      <c r="H27" s="7" t="n">
        <v>23.1</v>
      </c>
      <c r="I27" s="9" t="n">
        <f aca="false">E27/D27</f>
        <v>22.2935779816514</v>
      </c>
      <c r="J27" s="8" t="n">
        <f aca="false">F27/D27</f>
        <v>113.761467889908</v>
      </c>
      <c r="K27" s="8" t="n">
        <f aca="false">G27/D27</f>
        <v>27.1896433771291</v>
      </c>
      <c r="L27" s="10" t="n">
        <f aca="false">H27/D27</f>
        <v>2.11926605504587</v>
      </c>
    </row>
    <row r="28" customFormat="false" ht="15" hidden="false" customHeight="false" outlineLevel="0" collapsed="false">
      <c r="A28" s="4" t="s">
        <v>34</v>
      </c>
      <c r="B28" s="5" t="s">
        <v>30</v>
      </c>
      <c r="C28" s="5"/>
      <c r="D28" s="6" t="n">
        <v>10.9</v>
      </c>
      <c r="E28" s="7" t="n">
        <v>243</v>
      </c>
      <c r="F28" s="7" t="n">
        <v>1300</v>
      </c>
      <c r="G28" s="8" t="n">
        <f aca="false">F28/4.184</f>
        <v>310.707456978967</v>
      </c>
      <c r="H28" s="7" t="n">
        <v>22.8</v>
      </c>
      <c r="I28" s="9" t="n">
        <f aca="false">E28/D28</f>
        <v>22.2935779816514</v>
      </c>
      <c r="J28" s="8" t="n">
        <f aca="false">F28/D28</f>
        <v>119.266055045872</v>
      </c>
      <c r="K28" s="8" t="n">
        <f aca="false">G28/D28</f>
        <v>28.5052712824741</v>
      </c>
      <c r="L28" s="10" t="n">
        <f aca="false">H28/D28</f>
        <v>2.09174311926606</v>
      </c>
    </row>
    <row r="29" customFormat="false" ht="15" hidden="false" customHeight="false" outlineLevel="0" collapsed="false">
      <c r="A29" s="4" t="s">
        <v>45</v>
      </c>
      <c r="B29" s="5" t="s">
        <v>21</v>
      </c>
      <c r="C29" s="5" t="s">
        <v>22</v>
      </c>
      <c r="D29" s="6" t="n">
        <v>16.3</v>
      </c>
      <c r="E29" s="7" t="n">
        <v>412</v>
      </c>
      <c r="F29" s="7" t="n">
        <v>2240</v>
      </c>
      <c r="G29" s="8" t="n">
        <f aca="false">F29/4.184</f>
        <v>535.372848948375</v>
      </c>
      <c r="H29" s="7" t="n">
        <v>33.2</v>
      </c>
      <c r="I29" s="9" t="n">
        <f aca="false">E29/D29</f>
        <v>25.2760736196319</v>
      </c>
      <c r="J29" s="8" t="n">
        <f aca="false">F29/D29</f>
        <v>137.423312883436</v>
      </c>
      <c r="K29" s="8" t="n">
        <f aca="false">G29/D29</f>
        <v>32.8449600581825</v>
      </c>
      <c r="L29" s="10" t="n">
        <f aca="false">H29/D29</f>
        <v>2.03680981595092</v>
      </c>
    </row>
    <row r="30" customFormat="false" ht="15" hidden="false" customHeight="false" outlineLevel="0" collapsed="false">
      <c r="A30" s="4" t="s">
        <v>43</v>
      </c>
      <c r="B30" s="5" t="s">
        <v>30</v>
      </c>
      <c r="C30" s="5"/>
      <c r="D30" s="6" t="n">
        <v>11.9</v>
      </c>
      <c r="E30" s="7" t="n">
        <v>236</v>
      </c>
      <c r="F30" s="7" t="n">
        <v>1520</v>
      </c>
      <c r="G30" s="8" t="n">
        <f aca="false">F30/4.184</f>
        <v>363.288718929254</v>
      </c>
      <c r="H30" s="7" t="n">
        <v>24.1</v>
      </c>
      <c r="I30" s="9" t="n">
        <f aca="false">E30/D30</f>
        <v>19.8319327731092</v>
      </c>
      <c r="J30" s="8" t="n">
        <f aca="false">F30/D30</f>
        <v>127.731092436975</v>
      </c>
      <c r="K30" s="8" t="n">
        <f aca="false">G30/D30</f>
        <v>30.5284637755676</v>
      </c>
      <c r="L30" s="10" t="n">
        <f aca="false">H30/D30</f>
        <v>2.02521008403361</v>
      </c>
    </row>
    <row r="31" customFormat="false" ht="15" hidden="false" customHeight="false" outlineLevel="0" collapsed="false">
      <c r="A31" s="4" t="s">
        <v>28</v>
      </c>
      <c r="B31" s="5" t="s">
        <v>30</v>
      </c>
      <c r="C31" s="5"/>
      <c r="D31" s="6" t="n">
        <v>8</v>
      </c>
      <c r="E31" s="7" t="n">
        <v>201</v>
      </c>
      <c r="F31" s="7" t="n">
        <v>1070</v>
      </c>
      <c r="G31" s="8" t="n">
        <f aca="false">F31/4.184</f>
        <v>255.736137667304</v>
      </c>
      <c r="H31" s="7" t="n">
        <v>15.5</v>
      </c>
      <c r="I31" s="9" t="n">
        <f aca="false">E31/D31</f>
        <v>25.125</v>
      </c>
      <c r="J31" s="8" t="n">
        <f aca="false">F31/D31</f>
        <v>133.75</v>
      </c>
      <c r="K31" s="8" t="n">
        <f aca="false">G31/D31</f>
        <v>31.967017208413</v>
      </c>
      <c r="L31" s="10" t="n">
        <f aca="false">H31/D31</f>
        <v>1.9375</v>
      </c>
    </row>
    <row r="32" customFormat="false" ht="15" hidden="false" customHeight="false" outlineLevel="0" collapsed="false">
      <c r="A32" s="4" t="s">
        <v>24</v>
      </c>
      <c r="B32" s="5" t="s">
        <v>30</v>
      </c>
      <c r="C32" s="5"/>
      <c r="D32" s="6" t="n">
        <v>8.5</v>
      </c>
      <c r="E32" s="7" t="n">
        <v>248</v>
      </c>
      <c r="F32" s="7" t="n">
        <v>1690</v>
      </c>
      <c r="G32" s="8" t="n">
        <f aca="false">F32/4.184</f>
        <v>403.919694072658</v>
      </c>
      <c r="H32" s="7" t="n">
        <v>16</v>
      </c>
      <c r="I32" s="9" t="n">
        <f aca="false">E32/D32</f>
        <v>29.1764705882353</v>
      </c>
      <c r="J32" s="8" t="n">
        <f aca="false">F32/D32</f>
        <v>198.823529411765</v>
      </c>
      <c r="K32" s="8" t="n">
        <f aca="false">G32/D32</f>
        <v>47.519964008548</v>
      </c>
      <c r="L32" s="10" t="n">
        <f aca="false">H32/D32</f>
        <v>1.88235294117647</v>
      </c>
    </row>
    <row r="33" customFormat="false" ht="15" hidden="false" customHeight="false" outlineLevel="0" collapsed="false">
      <c r="A33" s="4" t="s">
        <v>33</v>
      </c>
      <c r="B33" s="5" t="s">
        <v>30</v>
      </c>
      <c r="C33" s="5"/>
      <c r="D33" s="6" t="n">
        <v>9.9</v>
      </c>
      <c r="E33" s="7" t="n">
        <v>222</v>
      </c>
      <c r="F33" s="7" t="n">
        <v>1360</v>
      </c>
      <c r="G33" s="8" t="n">
        <f aca="false">F33/4.184</f>
        <v>325.047801147228</v>
      </c>
      <c r="H33" s="7" t="n">
        <v>18.6</v>
      </c>
      <c r="I33" s="9" t="n">
        <f aca="false">E33/D33</f>
        <v>22.4242424242424</v>
      </c>
      <c r="J33" s="8" t="n">
        <f aca="false">F33/D33</f>
        <v>137.373737373737</v>
      </c>
      <c r="K33" s="8" t="n">
        <f aca="false">G33/D33</f>
        <v>32.8331112269927</v>
      </c>
      <c r="L33" s="10" t="n">
        <f aca="false">H33/D33</f>
        <v>1.87878787878788</v>
      </c>
    </row>
    <row r="34" customFormat="false" ht="15" hidden="false" customHeight="false" outlineLevel="0" collapsed="false">
      <c r="A34" s="4" t="s">
        <v>44</v>
      </c>
      <c r="B34" s="5" t="s">
        <v>30</v>
      </c>
      <c r="C34" s="5"/>
      <c r="D34" s="6" t="n">
        <v>10.9</v>
      </c>
      <c r="E34" s="7" t="n">
        <v>216</v>
      </c>
      <c r="F34" s="7" t="n">
        <v>1570</v>
      </c>
      <c r="G34" s="8" t="n">
        <f aca="false">F34/4.184</f>
        <v>375.239005736138</v>
      </c>
      <c r="H34" s="7" t="n">
        <v>20.2</v>
      </c>
      <c r="I34" s="9" t="n">
        <f aca="false">E34/D34</f>
        <v>19.8165137614679</v>
      </c>
      <c r="J34" s="8" t="n">
        <f aca="false">F34/D34</f>
        <v>144.036697247706</v>
      </c>
      <c r="K34" s="8" t="n">
        <f aca="false">G34/D34</f>
        <v>34.4255968565264</v>
      </c>
      <c r="L34" s="10" t="n">
        <f aca="false">H34/D34</f>
        <v>1.85321100917431</v>
      </c>
    </row>
    <row r="35" customFormat="false" ht="15" hidden="false" customHeight="false" outlineLevel="0" collapsed="false">
      <c r="A35" s="4" t="s">
        <v>38</v>
      </c>
      <c r="B35" s="5" t="s">
        <v>30</v>
      </c>
      <c r="C35" s="5"/>
      <c r="D35" s="6" t="n">
        <v>9.5</v>
      </c>
      <c r="E35" s="7" t="n">
        <v>210</v>
      </c>
      <c r="F35" s="7" t="n">
        <v>1100</v>
      </c>
      <c r="G35" s="8" t="n">
        <f aca="false">F35/4.184</f>
        <v>262.906309751434</v>
      </c>
      <c r="H35" s="7" t="n">
        <v>17.2</v>
      </c>
      <c r="I35" s="9" t="n">
        <f aca="false">E35/D35</f>
        <v>22.1052631578947</v>
      </c>
      <c r="J35" s="8" t="n">
        <f aca="false">F35/D35</f>
        <v>115.789473684211</v>
      </c>
      <c r="K35" s="8" t="n">
        <f aca="false">G35/D35</f>
        <v>27.6743483948878</v>
      </c>
      <c r="L35" s="10" t="n">
        <f aca="false">H35/D35</f>
        <v>1.81052631578947</v>
      </c>
    </row>
    <row r="36" customFormat="false" ht="15" hidden="false" customHeight="false" outlineLevel="0" collapsed="false">
      <c r="A36" s="4" t="s">
        <v>41</v>
      </c>
      <c r="B36" s="5" t="s">
        <v>30</v>
      </c>
      <c r="C36" s="5"/>
      <c r="D36" s="6" t="n">
        <v>10.5</v>
      </c>
      <c r="E36" s="7" t="n">
        <v>218</v>
      </c>
      <c r="F36" s="7" t="n">
        <v>1460</v>
      </c>
      <c r="G36" s="8" t="n">
        <f aca="false">F36/4.184</f>
        <v>348.948374760994</v>
      </c>
      <c r="H36" s="7" t="n">
        <v>18</v>
      </c>
      <c r="I36" s="9" t="n">
        <f aca="false">E36/D36</f>
        <v>20.7619047619048</v>
      </c>
      <c r="J36" s="8" t="n">
        <f aca="false">F36/D36</f>
        <v>139.047619047619</v>
      </c>
      <c r="K36" s="8" t="n">
        <f aca="false">G36/D36</f>
        <v>33.2331785486661</v>
      </c>
      <c r="L36" s="10" t="n">
        <f aca="false">H36/D36</f>
        <v>1.71428571428571</v>
      </c>
    </row>
    <row r="37" customFormat="false" ht="15" hidden="false" customHeight="false" outlineLevel="0" collapsed="false">
      <c r="A37" s="4" t="s">
        <v>27</v>
      </c>
      <c r="B37" s="5" t="s">
        <v>21</v>
      </c>
      <c r="C37" s="5" t="s">
        <v>22</v>
      </c>
      <c r="D37" s="6" t="n">
        <v>11.6</v>
      </c>
      <c r="E37" s="7" t="n">
        <v>386</v>
      </c>
      <c r="F37" s="7" t="n">
        <v>2260</v>
      </c>
      <c r="G37" s="8" t="n">
        <f aca="false">F37/4.184</f>
        <v>540.152963671128</v>
      </c>
      <c r="H37" s="7" t="n">
        <v>19</v>
      </c>
      <c r="I37" s="9" t="n">
        <f aca="false">E37/D37</f>
        <v>33.2758620689655</v>
      </c>
      <c r="J37" s="8" t="n">
        <f aca="false">F37/D37</f>
        <v>194.827586206897</v>
      </c>
      <c r="K37" s="8" t="n">
        <f aca="false">G37/D37</f>
        <v>46.5649106613042</v>
      </c>
      <c r="L37" s="10" t="n">
        <f aca="false">H37/D37</f>
        <v>1.63793103448276</v>
      </c>
    </row>
    <row r="38" customFormat="false" ht="15" hidden="false" customHeight="false" outlineLevel="0" collapsed="false">
      <c r="A38" s="4" t="s">
        <v>45</v>
      </c>
      <c r="B38" s="5" t="s">
        <v>30</v>
      </c>
      <c r="C38" s="5"/>
      <c r="D38" s="6" t="n">
        <v>10.5</v>
      </c>
      <c r="E38" s="7" t="n">
        <v>206</v>
      </c>
      <c r="F38" s="7" t="n">
        <v>1120</v>
      </c>
      <c r="G38" s="8" t="n">
        <f aca="false">F38/4.184</f>
        <v>267.686424474187</v>
      </c>
      <c r="H38" s="7" t="n">
        <v>16.6</v>
      </c>
      <c r="I38" s="9" t="n">
        <f aca="false">E38/D38</f>
        <v>19.6190476190476</v>
      </c>
      <c r="J38" s="8" t="n">
        <f aca="false">F38/D38</f>
        <v>106.666666666667</v>
      </c>
      <c r="K38" s="8" t="n">
        <f aca="false">G38/D38</f>
        <v>25.4939451880178</v>
      </c>
      <c r="L38" s="10" t="n">
        <f aca="false">H38/D38</f>
        <v>1.58095238095238</v>
      </c>
    </row>
    <row r="39" customFormat="false" ht="15" hidden="false" customHeight="false" outlineLevel="0" collapsed="false">
      <c r="A39" s="4" t="s">
        <v>29</v>
      </c>
      <c r="B39" s="5" t="s">
        <v>15</v>
      </c>
      <c r="C39" s="5"/>
      <c r="D39" s="6" t="n">
        <v>1.4</v>
      </c>
      <c r="E39" s="7" t="n">
        <v>45</v>
      </c>
      <c r="F39" s="7" t="n">
        <v>955</v>
      </c>
      <c r="G39" s="8" t="n">
        <f aca="false">F39/4.184</f>
        <v>228.250478011472</v>
      </c>
      <c r="H39" s="7" t="n">
        <v>2.1</v>
      </c>
      <c r="I39" s="9" t="n">
        <f aca="false">E39/D39</f>
        <v>32.1428571428571</v>
      </c>
      <c r="J39" s="8" t="n">
        <f aca="false">F39/D39</f>
        <v>682.142857142857</v>
      </c>
      <c r="K39" s="8" t="n">
        <f aca="false">G39/D39</f>
        <v>163.03605572248</v>
      </c>
      <c r="L39" s="10" t="n">
        <f aca="false">H39/D39</f>
        <v>1.5</v>
      </c>
    </row>
    <row r="40" customFormat="false" ht="15" hidden="false" customHeight="false" outlineLevel="0" collapsed="false">
      <c r="A40" s="4" t="s">
        <v>32</v>
      </c>
      <c r="B40" s="5" t="s">
        <v>21</v>
      </c>
      <c r="C40" s="5" t="s">
        <v>22</v>
      </c>
      <c r="D40" s="6" t="n">
        <v>15.3</v>
      </c>
      <c r="E40" s="7" t="n">
        <v>458</v>
      </c>
      <c r="F40" s="7" t="n">
        <v>2840</v>
      </c>
      <c r="G40" s="8" t="n">
        <f aca="false">F40/4.184</f>
        <v>678.776290630975</v>
      </c>
      <c r="H40" s="7" t="n">
        <v>22.8</v>
      </c>
      <c r="I40" s="9" t="n">
        <f aca="false">E40/D40</f>
        <v>29.9346405228758</v>
      </c>
      <c r="J40" s="8" t="n">
        <f aca="false">F40/D40</f>
        <v>185.62091503268</v>
      </c>
      <c r="K40" s="8" t="n">
        <f aca="false">G40/D40</f>
        <v>44.364463439933</v>
      </c>
      <c r="L40" s="10" t="n">
        <f aca="false">H40/D40</f>
        <v>1.49019607843137</v>
      </c>
    </row>
    <row r="41" customFormat="false" ht="15" hidden="false" customHeight="false" outlineLevel="0" collapsed="false">
      <c r="A41" s="4" t="s">
        <v>27</v>
      </c>
      <c r="B41" s="5" t="s">
        <v>30</v>
      </c>
      <c r="C41" s="5"/>
      <c r="D41" s="6" t="n">
        <v>7.5</v>
      </c>
      <c r="E41" s="7" t="n">
        <v>193</v>
      </c>
      <c r="F41" s="7" t="n">
        <v>1130</v>
      </c>
      <c r="G41" s="8" t="n">
        <f aca="false">F41/4.184</f>
        <v>270.076481835564</v>
      </c>
      <c r="H41" s="7" t="n">
        <v>9.5</v>
      </c>
      <c r="I41" s="9" t="n">
        <f aca="false">E41/D41</f>
        <v>25.7333333333333</v>
      </c>
      <c r="J41" s="8" t="n">
        <f aca="false">F41/D41</f>
        <v>150.666666666667</v>
      </c>
      <c r="K41" s="8" t="n">
        <f aca="false">G41/D41</f>
        <v>36.0101975780752</v>
      </c>
      <c r="L41" s="10" t="n">
        <f aca="false">H41/D41</f>
        <v>1.26666666666667</v>
      </c>
    </row>
    <row r="42" customFormat="false" ht="15" hidden="false" customHeight="false" outlineLevel="0" collapsed="false">
      <c r="A42" s="4" t="s">
        <v>32</v>
      </c>
      <c r="B42" s="5" t="s">
        <v>30</v>
      </c>
      <c r="C42" s="5"/>
      <c r="D42" s="6" t="n">
        <v>9.9</v>
      </c>
      <c r="E42" s="7" t="n">
        <v>229</v>
      </c>
      <c r="F42" s="7" t="n">
        <v>1420</v>
      </c>
      <c r="G42" s="8" t="n">
        <f aca="false">F42/4.184</f>
        <v>339.388145315488</v>
      </c>
      <c r="H42" s="7" t="n">
        <v>11.4</v>
      </c>
      <c r="I42" s="9" t="n">
        <f aca="false">E42/D42</f>
        <v>23.1313131313131</v>
      </c>
      <c r="J42" s="8" t="n">
        <f aca="false">F42/D42</f>
        <v>143.434343434343</v>
      </c>
      <c r="K42" s="8" t="n">
        <f aca="false">G42/D42</f>
        <v>34.2816308399482</v>
      </c>
      <c r="L42" s="10" t="n">
        <f aca="false">H42/D42</f>
        <v>1.15151515151515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20</v>
      </c>
      <c r="B5" s="5" t="s">
        <v>30</v>
      </c>
      <c r="C5" s="5"/>
      <c r="D5" s="6" t="n">
        <v>7.55</v>
      </c>
      <c r="E5" s="7" t="n">
        <v>229</v>
      </c>
      <c r="F5" s="7" t="n">
        <v>1730</v>
      </c>
      <c r="G5" s="8" t="n">
        <f aca="false">F5/4.184</f>
        <v>413.479923518164</v>
      </c>
      <c r="H5" s="7" t="n">
        <v>19.9</v>
      </c>
      <c r="I5" s="9" t="n">
        <f aca="false">E5/D5</f>
        <v>30.3311258278146</v>
      </c>
      <c r="J5" s="8" t="n">
        <f aca="false">F5/D5</f>
        <v>229.139072847682</v>
      </c>
      <c r="K5" s="8" t="n">
        <f aca="false">G5/D5</f>
        <v>54.7655527838628</v>
      </c>
      <c r="L5" s="10" t="n">
        <f aca="false">H5/D5</f>
        <v>2.63576158940397</v>
      </c>
    </row>
    <row r="6" customFormat="false" ht="15" hidden="false" customHeight="false" outlineLevel="0" collapsed="false">
      <c r="A6" s="4" t="s">
        <v>23</v>
      </c>
      <c r="B6" s="5" t="s">
        <v>30</v>
      </c>
      <c r="C6" s="5"/>
      <c r="D6" s="6" t="n">
        <v>9.9</v>
      </c>
      <c r="E6" s="7" t="n">
        <v>297</v>
      </c>
      <c r="F6" s="7" t="n">
        <v>1920</v>
      </c>
      <c r="G6" s="8" t="n">
        <f aca="false">F6/4.184</f>
        <v>458.891013384321</v>
      </c>
      <c r="H6" s="7" t="n">
        <v>22</v>
      </c>
      <c r="I6" s="9" t="n">
        <f aca="false">E6/D6</f>
        <v>30</v>
      </c>
      <c r="J6" s="8" t="n">
        <f aca="false">F6/D6</f>
        <v>193.939393939394</v>
      </c>
      <c r="K6" s="8" t="n">
        <f aca="false">G6/D6</f>
        <v>46.3526276145779</v>
      </c>
      <c r="L6" s="10" t="n">
        <f aca="false">H6/D6</f>
        <v>2.22222222222222</v>
      </c>
    </row>
    <row r="7" customFormat="false" ht="15" hidden="false" customHeight="false" outlineLevel="0" collapsed="false">
      <c r="A7" s="4" t="s">
        <v>24</v>
      </c>
      <c r="B7" s="5" t="s">
        <v>30</v>
      </c>
      <c r="C7" s="5"/>
      <c r="D7" s="6" t="n">
        <v>8.5</v>
      </c>
      <c r="E7" s="7" t="n">
        <v>248</v>
      </c>
      <c r="F7" s="7" t="n">
        <v>1690</v>
      </c>
      <c r="G7" s="8" t="n">
        <f aca="false">F7/4.184</f>
        <v>403.919694072658</v>
      </c>
      <c r="H7" s="7" t="n">
        <v>16</v>
      </c>
      <c r="I7" s="9" t="n">
        <f aca="false">E7/D7</f>
        <v>29.1764705882353</v>
      </c>
      <c r="J7" s="8" t="n">
        <f aca="false">F7/D7</f>
        <v>198.823529411765</v>
      </c>
      <c r="K7" s="8" t="n">
        <f aca="false">G7/D7</f>
        <v>47.519964008548</v>
      </c>
      <c r="L7" s="10" t="n">
        <f aca="false">H7/D7</f>
        <v>1.88235294117647</v>
      </c>
    </row>
    <row r="8" customFormat="false" ht="15" hidden="false" customHeight="false" outlineLevel="0" collapsed="false">
      <c r="A8" s="4" t="s">
        <v>27</v>
      </c>
      <c r="B8" s="5" t="s">
        <v>30</v>
      </c>
      <c r="C8" s="5"/>
      <c r="D8" s="6" t="n">
        <v>7.5</v>
      </c>
      <c r="E8" s="7" t="n">
        <v>193</v>
      </c>
      <c r="F8" s="7" t="n">
        <v>1130</v>
      </c>
      <c r="G8" s="8" t="n">
        <f aca="false">F8/4.184</f>
        <v>270.076481835564</v>
      </c>
      <c r="H8" s="7" t="n">
        <v>9.5</v>
      </c>
      <c r="I8" s="9" t="n">
        <f aca="false">E8/D8</f>
        <v>25.7333333333333</v>
      </c>
      <c r="J8" s="8" t="n">
        <f aca="false">F8/D8</f>
        <v>150.666666666667</v>
      </c>
      <c r="K8" s="8" t="n">
        <f aca="false">G8/D8</f>
        <v>36.0101975780752</v>
      </c>
      <c r="L8" s="10" t="n">
        <f aca="false">H8/D8</f>
        <v>1.26666666666667</v>
      </c>
    </row>
    <row r="9" customFormat="false" ht="15" hidden="false" customHeight="false" outlineLevel="0" collapsed="false">
      <c r="A9" s="4" t="s">
        <v>28</v>
      </c>
      <c r="B9" s="5" t="s">
        <v>30</v>
      </c>
      <c r="C9" s="5"/>
      <c r="D9" s="6" t="n">
        <v>8</v>
      </c>
      <c r="E9" s="7" t="n">
        <v>201</v>
      </c>
      <c r="F9" s="7" t="n">
        <v>1070</v>
      </c>
      <c r="G9" s="8" t="n">
        <f aca="false">F9/4.184</f>
        <v>255.736137667304</v>
      </c>
      <c r="H9" s="7" t="n">
        <v>15.5</v>
      </c>
      <c r="I9" s="9" t="n">
        <f aca="false">E9/D9</f>
        <v>25.125</v>
      </c>
      <c r="J9" s="8" t="n">
        <f aca="false">F9/D9</f>
        <v>133.75</v>
      </c>
      <c r="K9" s="8" t="n">
        <f aca="false">G9/D9</f>
        <v>31.967017208413</v>
      </c>
      <c r="L9" s="10" t="n">
        <f aca="false">H9/D9</f>
        <v>1.9375</v>
      </c>
    </row>
    <row r="10" customFormat="false" ht="15" hidden="false" customHeight="false" outlineLevel="0" collapsed="false">
      <c r="A10" s="4" t="s">
        <v>31</v>
      </c>
      <c r="B10" s="5" t="s">
        <v>30</v>
      </c>
      <c r="C10" s="5"/>
      <c r="D10" s="6" t="n">
        <v>11.9</v>
      </c>
      <c r="E10" s="7" t="n">
        <v>277</v>
      </c>
      <c r="F10" s="7" t="n">
        <v>1840</v>
      </c>
      <c r="G10" s="8" t="n">
        <f aca="false">F10/4.184</f>
        <v>439.770554493308</v>
      </c>
      <c r="H10" s="7" t="n">
        <v>29</v>
      </c>
      <c r="I10" s="9" t="n">
        <f aca="false">E10/D10</f>
        <v>23.2773109243697</v>
      </c>
      <c r="J10" s="8" t="n">
        <f aca="false">F10/D10</f>
        <v>154.621848739496</v>
      </c>
      <c r="K10" s="8" t="n">
        <f aca="false">G10/D10</f>
        <v>36.9555087809502</v>
      </c>
      <c r="L10" s="10" t="n">
        <f aca="false">H10/D10</f>
        <v>2.43697478991597</v>
      </c>
    </row>
    <row r="11" customFormat="false" ht="15" hidden="false" customHeight="false" outlineLevel="0" collapsed="false">
      <c r="A11" s="4" t="s">
        <v>32</v>
      </c>
      <c r="B11" s="5" t="s">
        <v>30</v>
      </c>
      <c r="C11" s="5"/>
      <c r="D11" s="6" t="n">
        <v>9.9</v>
      </c>
      <c r="E11" s="7" t="n">
        <v>229</v>
      </c>
      <c r="F11" s="7" t="n">
        <v>1420</v>
      </c>
      <c r="G11" s="8" t="n">
        <f aca="false">F11/4.184</f>
        <v>339.388145315488</v>
      </c>
      <c r="H11" s="7" t="n">
        <v>11.4</v>
      </c>
      <c r="I11" s="9" t="n">
        <f aca="false">E11/D11</f>
        <v>23.1313131313131</v>
      </c>
      <c r="J11" s="8" t="n">
        <f aca="false">F11/D11</f>
        <v>143.434343434343</v>
      </c>
      <c r="K11" s="8" t="n">
        <f aca="false">G11/D11</f>
        <v>34.2816308399482</v>
      </c>
      <c r="L11" s="10" t="n">
        <f aca="false">H11/D11</f>
        <v>1.15151515151515</v>
      </c>
    </row>
    <row r="12" customFormat="false" ht="15" hidden="false" customHeight="false" outlineLevel="0" collapsed="false">
      <c r="A12" s="4" t="s">
        <v>33</v>
      </c>
      <c r="B12" s="5" t="s">
        <v>30</v>
      </c>
      <c r="C12" s="5"/>
      <c r="D12" s="6" t="n">
        <v>9.9</v>
      </c>
      <c r="E12" s="7" t="n">
        <v>222</v>
      </c>
      <c r="F12" s="7" t="n">
        <v>1360</v>
      </c>
      <c r="G12" s="8" t="n">
        <f aca="false">F12/4.184</f>
        <v>325.047801147228</v>
      </c>
      <c r="H12" s="7" t="n">
        <v>18.6</v>
      </c>
      <c r="I12" s="9" t="n">
        <f aca="false">E12/D12</f>
        <v>22.4242424242424</v>
      </c>
      <c r="J12" s="8" t="n">
        <f aca="false">F12/D12</f>
        <v>137.373737373737</v>
      </c>
      <c r="K12" s="8" t="n">
        <f aca="false">G12/D12</f>
        <v>32.8331112269927</v>
      </c>
      <c r="L12" s="10" t="n">
        <f aca="false">H12/D12</f>
        <v>1.87878787878788</v>
      </c>
    </row>
    <row r="13" customFormat="false" ht="15" hidden="false" customHeight="false" outlineLevel="0" collapsed="false">
      <c r="A13" s="4" t="s">
        <v>34</v>
      </c>
      <c r="B13" s="5" t="s">
        <v>30</v>
      </c>
      <c r="C13" s="5"/>
      <c r="D13" s="6" t="n">
        <v>10.9</v>
      </c>
      <c r="E13" s="7" t="n">
        <v>243</v>
      </c>
      <c r="F13" s="7" t="n">
        <v>1300</v>
      </c>
      <c r="G13" s="8" t="n">
        <f aca="false">F13/4.184</f>
        <v>310.707456978967</v>
      </c>
      <c r="H13" s="7" t="n">
        <v>22.8</v>
      </c>
      <c r="I13" s="9" t="n">
        <f aca="false">E13/D13</f>
        <v>22.2935779816514</v>
      </c>
      <c r="J13" s="8" t="n">
        <f aca="false">F13/D13</f>
        <v>119.266055045872</v>
      </c>
      <c r="K13" s="8" t="n">
        <f aca="false">G13/D13</f>
        <v>28.5052712824741</v>
      </c>
      <c r="L13" s="10" t="n">
        <f aca="false">H13/D13</f>
        <v>2.09174311926606</v>
      </c>
    </row>
    <row r="14" customFormat="false" ht="15" hidden="false" customHeight="false" outlineLevel="0" collapsed="false">
      <c r="A14" s="4" t="s">
        <v>35</v>
      </c>
      <c r="B14" s="5" t="s">
        <v>30</v>
      </c>
      <c r="C14" s="5"/>
      <c r="D14" s="6" t="n">
        <v>10.9</v>
      </c>
      <c r="E14" s="7" t="n">
        <v>243</v>
      </c>
      <c r="F14" s="7" t="n">
        <v>1240</v>
      </c>
      <c r="G14" s="8" t="n">
        <f aca="false">F14/4.184</f>
        <v>296.367112810707</v>
      </c>
      <c r="H14" s="7" t="n">
        <v>23.1</v>
      </c>
      <c r="I14" s="9" t="n">
        <f aca="false">E14/D14</f>
        <v>22.2935779816514</v>
      </c>
      <c r="J14" s="8" t="n">
        <f aca="false">F14/D14</f>
        <v>113.761467889908</v>
      </c>
      <c r="K14" s="8" t="n">
        <f aca="false">G14/D14</f>
        <v>27.1896433771291</v>
      </c>
      <c r="L14" s="10" t="n">
        <f aca="false">H14/D14</f>
        <v>2.11926605504587</v>
      </c>
    </row>
    <row r="15" customFormat="false" ht="15" hidden="false" customHeight="false" outlineLevel="0" collapsed="false">
      <c r="A15" s="4" t="s">
        <v>38</v>
      </c>
      <c r="B15" s="5" t="s">
        <v>30</v>
      </c>
      <c r="C15" s="5"/>
      <c r="D15" s="6" t="n">
        <v>9.5</v>
      </c>
      <c r="E15" s="7" t="n">
        <v>210</v>
      </c>
      <c r="F15" s="7" t="n">
        <v>1100</v>
      </c>
      <c r="G15" s="8" t="n">
        <f aca="false">F15/4.184</f>
        <v>262.906309751434</v>
      </c>
      <c r="H15" s="7" t="n">
        <v>17.2</v>
      </c>
      <c r="I15" s="9" t="n">
        <f aca="false">E15/D15</f>
        <v>22.1052631578947</v>
      </c>
      <c r="J15" s="8" t="n">
        <f aca="false">F15/D15</f>
        <v>115.789473684211</v>
      </c>
      <c r="K15" s="8" t="n">
        <f aca="false">G15/D15</f>
        <v>27.6743483948878</v>
      </c>
      <c r="L15" s="10" t="n">
        <f aca="false">H15/D15</f>
        <v>1.81052631578947</v>
      </c>
    </row>
    <row r="16" customFormat="false" ht="15" hidden="false" customHeight="false" outlineLevel="0" collapsed="false">
      <c r="A16" s="4" t="s">
        <v>41</v>
      </c>
      <c r="B16" s="5" t="s">
        <v>30</v>
      </c>
      <c r="C16" s="5"/>
      <c r="D16" s="6" t="n">
        <v>10.5</v>
      </c>
      <c r="E16" s="7" t="n">
        <v>218</v>
      </c>
      <c r="F16" s="7" t="n">
        <v>1460</v>
      </c>
      <c r="G16" s="8" t="n">
        <f aca="false">F16/4.184</f>
        <v>348.948374760994</v>
      </c>
      <c r="H16" s="7" t="n">
        <v>18</v>
      </c>
      <c r="I16" s="9" t="n">
        <f aca="false">E16/D16</f>
        <v>20.7619047619048</v>
      </c>
      <c r="J16" s="8" t="n">
        <f aca="false">F16/D16</f>
        <v>139.047619047619</v>
      </c>
      <c r="K16" s="8" t="n">
        <f aca="false">G16/D16</f>
        <v>33.2331785486661</v>
      </c>
      <c r="L16" s="10" t="n">
        <f aca="false">H16/D16</f>
        <v>1.71428571428571</v>
      </c>
    </row>
    <row r="17" customFormat="false" ht="15" hidden="false" customHeight="false" outlineLevel="0" collapsed="false">
      <c r="A17" s="4" t="s">
        <v>42</v>
      </c>
      <c r="B17" s="5" t="s">
        <v>30</v>
      </c>
      <c r="C17" s="5"/>
      <c r="D17" s="6" t="n">
        <v>11.9</v>
      </c>
      <c r="E17" s="7" t="n">
        <v>245</v>
      </c>
      <c r="F17" s="7" t="n">
        <v>1650</v>
      </c>
      <c r="G17" s="8" t="n">
        <f aca="false">F17/4.184</f>
        <v>394.359464627151</v>
      </c>
      <c r="H17" s="7" t="n">
        <v>25.6</v>
      </c>
      <c r="I17" s="9" t="n">
        <f aca="false">E17/D17</f>
        <v>20.5882352941176</v>
      </c>
      <c r="J17" s="8" t="n">
        <f aca="false">F17/D17</f>
        <v>138.655462184874</v>
      </c>
      <c r="K17" s="8" t="n">
        <f aca="false">G17/D17</f>
        <v>33.1394508090043</v>
      </c>
      <c r="L17" s="10" t="n">
        <f aca="false">H17/D17</f>
        <v>2.15126050420168</v>
      </c>
    </row>
    <row r="18" customFormat="false" ht="15" hidden="false" customHeight="false" outlineLevel="0" collapsed="false">
      <c r="A18" s="4" t="s">
        <v>43</v>
      </c>
      <c r="B18" s="5" t="s">
        <v>30</v>
      </c>
      <c r="C18" s="5"/>
      <c r="D18" s="6" t="n">
        <v>11.9</v>
      </c>
      <c r="E18" s="7" t="n">
        <v>236</v>
      </c>
      <c r="F18" s="7" t="n">
        <v>1520</v>
      </c>
      <c r="G18" s="8" t="n">
        <f aca="false">F18/4.184</f>
        <v>363.288718929254</v>
      </c>
      <c r="H18" s="7" t="n">
        <v>24.1</v>
      </c>
      <c r="I18" s="9" t="n">
        <f aca="false">E18/D18</f>
        <v>19.8319327731092</v>
      </c>
      <c r="J18" s="8" t="n">
        <f aca="false">F18/D18</f>
        <v>127.731092436975</v>
      </c>
      <c r="K18" s="8" t="n">
        <f aca="false">G18/D18</f>
        <v>30.5284637755676</v>
      </c>
      <c r="L18" s="10" t="n">
        <f aca="false">H18/D18</f>
        <v>2.02521008403361</v>
      </c>
    </row>
    <row r="19" customFormat="false" ht="15" hidden="false" customHeight="false" outlineLevel="0" collapsed="false">
      <c r="A19" s="4" t="s">
        <v>44</v>
      </c>
      <c r="B19" s="5" t="s">
        <v>30</v>
      </c>
      <c r="C19" s="5"/>
      <c r="D19" s="6" t="n">
        <v>10.9</v>
      </c>
      <c r="E19" s="7" t="n">
        <v>216</v>
      </c>
      <c r="F19" s="7" t="n">
        <v>1570</v>
      </c>
      <c r="G19" s="8" t="n">
        <f aca="false">F19/4.184</f>
        <v>375.239005736138</v>
      </c>
      <c r="H19" s="7" t="n">
        <v>20.2</v>
      </c>
      <c r="I19" s="9" t="n">
        <f aca="false">E19/D19</f>
        <v>19.8165137614679</v>
      </c>
      <c r="J19" s="8" t="n">
        <f aca="false">F19/D19</f>
        <v>144.036697247706</v>
      </c>
      <c r="K19" s="8" t="n">
        <f aca="false">G19/D19</f>
        <v>34.4255968565264</v>
      </c>
      <c r="L19" s="10" t="n">
        <f aca="false">H19/D19</f>
        <v>1.85321100917431</v>
      </c>
    </row>
    <row r="20" customFormat="false" ht="15" hidden="false" customHeight="false" outlineLevel="0" collapsed="false">
      <c r="A20" s="4" t="s">
        <v>45</v>
      </c>
      <c r="B20" s="5" t="s">
        <v>30</v>
      </c>
      <c r="C20" s="5"/>
      <c r="D20" s="6" t="n">
        <v>10.5</v>
      </c>
      <c r="E20" s="7" t="n">
        <v>206</v>
      </c>
      <c r="F20" s="7" t="n">
        <v>1120</v>
      </c>
      <c r="G20" s="8" t="n">
        <f aca="false">F20/4.184</f>
        <v>267.686424474187</v>
      </c>
      <c r="H20" s="7" t="n">
        <v>16.6</v>
      </c>
      <c r="I20" s="9" t="n">
        <f aca="false">E20/D20</f>
        <v>19.6190476190476</v>
      </c>
      <c r="J20" s="8" t="n">
        <f aca="false">F20/D20</f>
        <v>106.666666666667</v>
      </c>
      <c r="K20" s="8" t="n">
        <f aca="false">G20/D20</f>
        <v>25.4939451880178</v>
      </c>
      <c r="L20" s="10" t="n">
        <f aca="false">H20/D20</f>
        <v>1.58095238095238</v>
      </c>
    </row>
    <row r="21" customFormat="false" ht="15" hidden="false" customHeight="false" outlineLevel="0" collapsed="false">
      <c r="A21" s="4" t="s">
        <v>17</v>
      </c>
      <c r="B21" s="5" t="s">
        <v>18</v>
      </c>
      <c r="C21" s="5" t="s">
        <v>19</v>
      </c>
      <c r="D21" s="6" t="n">
        <v>8</v>
      </c>
      <c r="E21" s="7" t="n">
        <v>432</v>
      </c>
      <c r="F21" s="7" t="n">
        <v>3140</v>
      </c>
      <c r="G21" s="8" t="n">
        <f aca="false">F21/4.184</f>
        <v>750.478011472275</v>
      </c>
      <c r="H21" s="7" t="n">
        <v>40.4</v>
      </c>
      <c r="I21" s="9" t="n">
        <f aca="false">E21/D21</f>
        <v>54</v>
      </c>
      <c r="J21" s="8" t="n">
        <f aca="false">F21/D21</f>
        <v>392.5</v>
      </c>
      <c r="K21" s="8" t="n">
        <f aca="false">G21/D21</f>
        <v>93.8097514340344</v>
      </c>
      <c r="L21" s="10" t="n">
        <f aca="false">H21/D21</f>
        <v>5.05</v>
      </c>
    </row>
    <row r="22" customFormat="false" ht="15" hidden="false" customHeight="false" outlineLevel="0" collapsed="false">
      <c r="A22" s="4" t="s">
        <v>36</v>
      </c>
      <c r="B22" s="5" t="s">
        <v>18</v>
      </c>
      <c r="C22" s="5" t="s">
        <v>37</v>
      </c>
      <c r="D22" s="6" t="n">
        <v>7</v>
      </c>
      <c r="E22" s="7" t="n">
        <v>201</v>
      </c>
      <c r="F22" s="7" t="n">
        <v>1070</v>
      </c>
      <c r="G22" s="8" t="n">
        <f aca="false">F22/4.184</f>
        <v>255.736137667304</v>
      </c>
      <c r="H22" s="7" t="n">
        <v>15.5</v>
      </c>
      <c r="I22" s="9" t="n">
        <f aca="false">E22/D22</f>
        <v>28.7142857142857</v>
      </c>
      <c r="J22" s="8" t="n">
        <f aca="false">F22/D22</f>
        <v>152.857142857143</v>
      </c>
      <c r="K22" s="8" t="n">
        <f aca="false">G22/D22</f>
        <v>36.533733952472</v>
      </c>
      <c r="L22" s="10" t="n">
        <f aca="false">H22/D22</f>
        <v>2.21428571428571</v>
      </c>
    </row>
    <row r="23" customFormat="false" ht="15" hidden="false" customHeight="false" outlineLevel="0" collapsed="false">
      <c r="A23" s="4" t="s">
        <v>20</v>
      </c>
      <c r="B23" s="5" t="s">
        <v>21</v>
      </c>
      <c r="C23" s="5" t="s">
        <v>22</v>
      </c>
      <c r="D23" s="6" t="n">
        <v>11.7</v>
      </c>
      <c r="E23" s="7" t="n">
        <v>458</v>
      </c>
      <c r="F23" s="7" t="n">
        <v>3460</v>
      </c>
      <c r="G23" s="8" t="n">
        <f aca="false">F23/4.184</f>
        <v>826.959847036329</v>
      </c>
      <c r="H23" s="7" t="n">
        <v>39.8</v>
      </c>
      <c r="I23" s="9" t="n">
        <f aca="false">E23/D23</f>
        <v>39.1452991452992</v>
      </c>
      <c r="J23" s="8" t="n">
        <f aca="false">F23/D23</f>
        <v>295.726495726496</v>
      </c>
      <c r="K23" s="8" t="n">
        <f aca="false">G23/D23</f>
        <v>70.6803288065238</v>
      </c>
      <c r="L23" s="10" t="n">
        <f aca="false">H23/D23</f>
        <v>3.4017094017094</v>
      </c>
    </row>
    <row r="24" customFormat="false" ht="15" hidden="false" customHeight="false" outlineLevel="0" collapsed="false">
      <c r="A24" s="4" t="s">
        <v>23</v>
      </c>
      <c r="B24" s="5" t="s">
        <v>21</v>
      </c>
      <c r="C24" s="5" t="s">
        <v>22</v>
      </c>
      <c r="D24" s="6" t="n">
        <v>15.3</v>
      </c>
      <c r="E24" s="7" t="n">
        <v>594</v>
      </c>
      <c r="F24" s="7" t="n">
        <v>3840</v>
      </c>
      <c r="G24" s="8" t="n">
        <f aca="false">F24/4.184</f>
        <v>917.782026768642</v>
      </c>
      <c r="H24" s="7" t="n">
        <v>44</v>
      </c>
      <c r="I24" s="9" t="n">
        <f aca="false">E24/D24</f>
        <v>38.8235294117647</v>
      </c>
      <c r="J24" s="8" t="n">
        <f aca="false">F24/D24</f>
        <v>250.980392156863</v>
      </c>
      <c r="K24" s="8" t="n">
        <f aca="false">G24/D24</f>
        <v>59.9857533835714</v>
      </c>
      <c r="L24" s="10" t="n">
        <f aca="false">H24/D24</f>
        <v>2.87581699346405</v>
      </c>
    </row>
    <row r="25" customFormat="false" ht="15" hidden="false" customHeight="false" outlineLevel="0" collapsed="false">
      <c r="A25" s="4" t="s">
        <v>24</v>
      </c>
      <c r="B25" s="5" t="s">
        <v>21</v>
      </c>
      <c r="C25" s="5" t="s">
        <v>22</v>
      </c>
      <c r="D25" s="6" t="n">
        <v>13.2</v>
      </c>
      <c r="E25" s="7" t="n">
        <v>496</v>
      </c>
      <c r="F25" s="7" t="n">
        <v>3380</v>
      </c>
      <c r="G25" s="8" t="n">
        <f aca="false">F25/4.184</f>
        <v>807.839388145315</v>
      </c>
      <c r="H25" s="7" t="n">
        <v>32</v>
      </c>
      <c r="I25" s="9" t="n">
        <f aca="false">E25/D25</f>
        <v>37.5757575757576</v>
      </c>
      <c r="J25" s="8" t="n">
        <f aca="false">F25/D25</f>
        <v>256.060606060606</v>
      </c>
      <c r="K25" s="8" t="n">
        <f aca="false">G25/D25</f>
        <v>61.1999536473724</v>
      </c>
      <c r="L25" s="10" t="n">
        <f aca="false">H25/D25</f>
        <v>2.42424242424242</v>
      </c>
    </row>
    <row r="26" customFormat="false" ht="15" hidden="false" customHeight="false" outlineLevel="0" collapsed="false">
      <c r="A26" s="4" t="s">
        <v>27</v>
      </c>
      <c r="B26" s="5" t="s">
        <v>21</v>
      </c>
      <c r="C26" s="5" t="s">
        <v>22</v>
      </c>
      <c r="D26" s="6" t="n">
        <v>11.6</v>
      </c>
      <c r="E26" s="7" t="n">
        <v>386</v>
      </c>
      <c r="F26" s="7" t="n">
        <v>2260</v>
      </c>
      <c r="G26" s="8" t="n">
        <f aca="false">F26/4.184</f>
        <v>540.152963671128</v>
      </c>
      <c r="H26" s="7" t="n">
        <v>19</v>
      </c>
      <c r="I26" s="9" t="n">
        <f aca="false">E26/D26</f>
        <v>33.2758620689655</v>
      </c>
      <c r="J26" s="8" t="n">
        <f aca="false">F26/D26</f>
        <v>194.827586206897</v>
      </c>
      <c r="K26" s="8" t="n">
        <f aca="false">G26/D26</f>
        <v>46.5649106613042</v>
      </c>
      <c r="L26" s="10" t="n">
        <f aca="false">H26/D26</f>
        <v>1.63793103448276</v>
      </c>
    </row>
    <row r="27" customFormat="false" ht="15" hidden="false" customHeight="false" outlineLevel="0" collapsed="false">
      <c r="A27" s="4" t="s">
        <v>28</v>
      </c>
      <c r="B27" s="5" t="s">
        <v>21</v>
      </c>
      <c r="C27" s="5" t="s">
        <v>22</v>
      </c>
      <c r="D27" s="6" t="n">
        <v>12.4</v>
      </c>
      <c r="E27" s="7" t="n">
        <v>402</v>
      </c>
      <c r="F27" s="7" t="n">
        <v>2140</v>
      </c>
      <c r="G27" s="8" t="n">
        <f aca="false">F27/4.184</f>
        <v>511.472275334608</v>
      </c>
      <c r="H27" s="7" t="n">
        <v>31</v>
      </c>
      <c r="I27" s="9" t="n">
        <f aca="false">E27/D27</f>
        <v>32.4193548387097</v>
      </c>
      <c r="J27" s="8" t="n">
        <f aca="false">F27/D27</f>
        <v>172.58064516129</v>
      </c>
      <c r="K27" s="8" t="n">
        <f aca="false">G27/D27</f>
        <v>41.2477641398877</v>
      </c>
      <c r="L27" s="10" t="n">
        <f aca="false">H27/D27</f>
        <v>2.5</v>
      </c>
    </row>
    <row r="28" customFormat="false" ht="15" hidden="false" customHeight="false" outlineLevel="0" collapsed="false">
      <c r="A28" s="4" t="s">
        <v>31</v>
      </c>
      <c r="B28" s="5" t="s">
        <v>21</v>
      </c>
      <c r="C28" s="5" t="s">
        <v>22</v>
      </c>
      <c r="D28" s="6" t="n">
        <v>18.4</v>
      </c>
      <c r="E28" s="7" t="n">
        <v>554</v>
      </c>
      <c r="F28" s="7" t="n">
        <v>3680</v>
      </c>
      <c r="G28" s="8" t="n">
        <f aca="false">F28/4.184</f>
        <v>879.541108986616</v>
      </c>
      <c r="H28" s="7" t="n">
        <v>58</v>
      </c>
      <c r="I28" s="9" t="n">
        <f aca="false">E28/D28</f>
        <v>30.1086956521739</v>
      </c>
      <c r="J28" s="8" t="n">
        <f aca="false">F28/D28</f>
        <v>200</v>
      </c>
      <c r="K28" s="8" t="n">
        <f aca="false">G28/D28</f>
        <v>47.8011472275335</v>
      </c>
      <c r="L28" s="10" t="n">
        <f aca="false">H28/D28</f>
        <v>3.15217391304348</v>
      </c>
    </row>
    <row r="29" customFormat="false" ht="15" hidden="false" customHeight="false" outlineLevel="0" collapsed="false">
      <c r="A29" s="4" t="s">
        <v>32</v>
      </c>
      <c r="B29" s="5" t="s">
        <v>21</v>
      </c>
      <c r="C29" s="5" t="s">
        <v>22</v>
      </c>
      <c r="D29" s="6" t="n">
        <v>15.3</v>
      </c>
      <c r="E29" s="7" t="n">
        <v>458</v>
      </c>
      <c r="F29" s="7" t="n">
        <v>2840</v>
      </c>
      <c r="G29" s="8" t="n">
        <f aca="false">F29/4.184</f>
        <v>678.776290630975</v>
      </c>
      <c r="H29" s="7" t="n">
        <v>22.8</v>
      </c>
      <c r="I29" s="9" t="n">
        <f aca="false">E29/D29</f>
        <v>29.9346405228758</v>
      </c>
      <c r="J29" s="8" t="n">
        <f aca="false">F29/D29</f>
        <v>185.62091503268</v>
      </c>
      <c r="K29" s="8" t="n">
        <f aca="false">G29/D29</f>
        <v>44.364463439933</v>
      </c>
      <c r="L29" s="10" t="n">
        <f aca="false">H29/D29</f>
        <v>1.49019607843137</v>
      </c>
    </row>
    <row r="30" customFormat="false" ht="15" hidden="false" customHeight="false" outlineLevel="0" collapsed="false">
      <c r="A30" s="4" t="s">
        <v>33</v>
      </c>
      <c r="B30" s="5" t="s">
        <v>21</v>
      </c>
      <c r="C30" s="5" t="s">
        <v>22</v>
      </c>
      <c r="D30" s="6" t="n">
        <v>15.3</v>
      </c>
      <c r="E30" s="7" t="n">
        <v>444</v>
      </c>
      <c r="F30" s="7" t="n">
        <v>2720</v>
      </c>
      <c r="G30" s="8" t="n">
        <f aca="false">F30/4.184</f>
        <v>650.095602294455</v>
      </c>
      <c r="H30" s="7" t="n">
        <v>37.2</v>
      </c>
      <c r="I30" s="9" t="n">
        <f aca="false">E30/D30</f>
        <v>29.0196078431373</v>
      </c>
      <c r="J30" s="8" t="n">
        <f aca="false">F30/D30</f>
        <v>177.777777777778</v>
      </c>
      <c r="K30" s="8" t="n">
        <f aca="false">G30/D30</f>
        <v>42.4899086466964</v>
      </c>
      <c r="L30" s="10" t="n">
        <f aca="false">H30/D30</f>
        <v>2.43137254901961</v>
      </c>
    </row>
    <row r="31" customFormat="false" ht="15" hidden="false" customHeight="false" outlineLevel="0" collapsed="false">
      <c r="A31" s="4" t="s">
        <v>34</v>
      </c>
      <c r="B31" s="5" t="s">
        <v>21</v>
      </c>
      <c r="C31" s="5" t="s">
        <v>22</v>
      </c>
      <c r="D31" s="6" t="n">
        <v>16.9</v>
      </c>
      <c r="E31" s="7" t="n">
        <v>486</v>
      </c>
      <c r="F31" s="7" t="n">
        <v>2600</v>
      </c>
      <c r="G31" s="8" t="n">
        <f aca="false">F31/4.184</f>
        <v>621.414913957935</v>
      </c>
      <c r="H31" s="7" t="n">
        <v>45.6</v>
      </c>
      <c r="I31" s="9" t="n">
        <f aca="false">E31/D31</f>
        <v>28.7573964497041</v>
      </c>
      <c r="J31" s="8" t="n">
        <f aca="false">F31/D31</f>
        <v>153.846153846154</v>
      </c>
      <c r="K31" s="8" t="n">
        <f aca="false">G31/D31</f>
        <v>36.7701132519488</v>
      </c>
      <c r="L31" s="10" t="n">
        <f aca="false">H31/D31</f>
        <v>2.69822485207101</v>
      </c>
    </row>
    <row r="32" customFormat="false" ht="15" hidden="false" customHeight="false" outlineLevel="0" collapsed="false">
      <c r="A32" s="4" t="s">
        <v>35</v>
      </c>
      <c r="B32" s="5" t="s">
        <v>21</v>
      </c>
      <c r="C32" s="5" t="s">
        <v>22</v>
      </c>
      <c r="D32" s="6" t="n">
        <v>16.9</v>
      </c>
      <c r="E32" s="7" t="n">
        <v>486</v>
      </c>
      <c r="F32" s="7" t="n">
        <v>2480</v>
      </c>
      <c r="G32" s="8" t="n">
        <f aca="false">F32/4.184</f>
        <v>592.734225621415</v>
      </c>
      <c r="H32" s="7" t="n">
        <v>46.2</v>
      </c>
      <c r="I32" s="9" t="n">
        <f aca="false">E32/D32</f>
        <v>28.7573964497041</v>
      </c>
      <c r="J32" s="8" t="n">
        <f aca="false">F32/D32</f>
        <v>146.745562130178</v>
      </c>
      <c r="K32" s="8" t="n">
        <f aca="false">G32/D32</f>
        <v>35.0730311018589</v>
      </c>
      <c r="L32" s="10" t="n">
        <f aca="false">H32/D32</f>
        <v>2.73372781065089</v>
      </c>
    </row>
    <row r="33" customFormat="false" ht="15" hidden="false" customHeight="false" outlineLevel="0" collapsed="false">
      <c r="A33" s="4" t="s">
        <v>38</v>
      </c>
      <c r="B33" s="5" t="s">
        <v>21</v>
      </c>
      <c r="C33" s="5" t="s">
        <v>22</v>
      </c>
      <c r="D33" s="6" t="n">
        <v>14.7</v>
      </c>
      <c r="E33" s="7" t="n">
        <v>420</v>
      </c>
      <c r="F33" s="7" t="n">
        <v>2200</v>
      </c>
      <c r="G33" s="8" t="n">
        <f aca="false">F33/4.184</f>
        <v>525.812619502868</v>
      </c>
      <c r="H33" s="7" t="n">
        <v>34.4</v>
      </c>
      <c r="I33" s="9" t="n">
        <f aca="false">E33/D33</f>
        <v>28.5714285714286</v>
      </c>
      <c r="J33" s="8" t="n">
        <f aca="false">F33/D33</f>
        <v>149.659863945578</v>
      </c>
      <c r="K33" s="8" t="n">
        <f aca="false">G33/D33</f>
        <v>35.7695659525761</v>
      </c>
      <c r="L33" s="10" t="n">
        <f aca="false">H33/D33</f>
        <v>2.34013605442177</v>
      </c>
    </row>
    <row r="34" customFormat="false" ht="15" hidden="false" customHeight="false" outlineLevel="0" collapsed="false">
      <c r="A34" s="4" t="s">
        <v>41</v>
      </c>
      <c r="B34" s="5" t="s">
        <v>21</v>
      </c>
      <c r="C34" s="5" t="s">
        <v>22</v>
      </c>
      <c r="D34" s="6" t="n">
        <v>16.3</v>
      </c>
      <c r="E34" s="7" t="n">
        <v>436</v>
      </c>
      <c r="F34" s="7" t="n">
        <v>2920</v>
      </c>
      <c r="G34" s="8" t="n">
        <f aca="false">F34/4.184</f>
        <v>697.896749521989</v>
      </c>
      <c r="H34" s="7" t="n">
        <v>36</v>
      </c>
      <c r="I34" s="9" t="n">
        <f aca="false">E34/D34</f>
        <v>26.7484662576687</v>
      </c>
      <c r="J34" s="8" t="n">
        <f aca="false">F34/D34</f>
        <v>179.141104294479</v>
      </c>
      <c r="K34" s="8" t="n">
        <f aca="false">G34/D34</f>
        <v>42.8157515044165</v>
      </c>
      <c r="L34" s="10" t="n">
        <f aca="false">H34/D34</f>
        <v>2.20858895705521</v>
      </c>
    </row>
    <row r="35" customFormat="false" ht="15" hidden="false" customHeight="false" outlineLevel="0" collapsed="false">
      <c r="A35" s="4" t="s">
        <v>42</v>
      </c>
      <c r="B35" s="5" t="s">
        <v>21</v>
      </c>
      <c r="C35" s="5" t="s">
        <v>22</v>
      </c>
      <c r="D35" s="6" t="n">
        <v>18.4</v>
      </c>
      <c r="E35" s="7" t="n">
        <v>490</v>
      </c>
      <c r="F35" s="7" t="n">
        <v>3300</v>
      </c>
      <c r="G35" s="8" t="n">
        <f aca="false">F35/4.184</f>
        <v>788.718929254302</v>
      </c>
      <c r="H35" s="7" t="n">
        <v>51.2</v>
      </c>
      <c r="I35" s="9" t="n">
        <f aca="false">E35/D35</f>
        <v>26.6304347826087</v>
      </c>
      <c r="J35" s="8" t="n">
        <f aca="false">F35/D35</f>
        <v>179.347826086957</v>
      </c>
      <c r="K35" s="8" t="n">
        <f aca="false">G35/D35</f>
        <v>42.8651591986034</v>
      </c>
      <c r="L35" s="10" t="n">
        <f aca="false">H35/D35</f>
        <v>2.78260869565217</v>
      </c>
    </row>
    <row r="36" customFormat="false" ht="15" hidden="false" customHeight="false" outlineLevel="0" collapsed="false">
      <c r="A36" s="4" t="s">
        <v>43</v>
      </c>
      <c r="B36" s="5" t="s">
        <v>21</v>
      </c>
      <c r="C36" s="5" t="s">
        <v>22</v>
      </c>
      <c r="D36" s="6" t="n">
        <v>18.4</v>
      </c>
      <c r="E36" s="7" t="n">
        <v>472</v>
      </c>
      <c r="F36" s="7" t="n">
        <v>3040</v>
      </c>
      <c r="G36" s="8" t="n">
        <f aca="false">F36/4.184</f>
        <v>726.577437858509</v>
      </c>
      <c r="H36" s="7" t="n">
        <v>48.2</v>
      </c>
      <c r="I36" s="9" t="n">
        <f aca="false">E36/D36</f>
        <v>25.6521739130435</v>
      </c>
      <c r="J36" s="8" t="n">
        <f aca="false">F36/D36</f>
        <v>165.217391304348</v>
      </c>
      <c r="K36" s="8" t="n">
        <f aca="false">G36/D36</f>
        <v>39.4879042314407</v>
      </c>
      <c r="L36" s="10" t="n">
        <f aca="false">H36/D36</f>
        <v>2.6195652173913</v>
      </c>
    </row>
    <row r="37" customFormat="false" ht="15" hidden="false" customHeight="false" outlineLevel="0" collapsed="false">
      <c r="A37" s="4" t="s">
        <v>44</v>
      </c>
      <c r="B37" s="5" t="s">
        <v>21</v>
      </c>
      <c r="C37" s="5" t="s">
        <v>22</v>
      </c>
      <c r="D37" s="6" t="n">
        <v>16.9</v>
      </c>
      <c r="E37" s="7" t="n">
        <v>432</v>
      </c>
      <c r="F37" s="7" t="n">
        <v>3140</v>
      </c>
      <c r="G37" s="8" t="n">
        <f aca="false">F37/4.184</f>
        <v>750.478011472275</v>
      </c>
      <c r="H37" s="7" t="n">
        <v>40.4</v>
      </c>
      <c r="I37" s="9" t="n">
        <f aca="false">E37/D37</f>
        <v>25.5621301775148</v>
      </c>
      <c r="J37" s="8" t="n">
        <f aca="false">F37/D37</f>
        <v>185.798816568047</v>
      </c>
      <c r="K37" s="8" t="n">
        <f aca="false">G37/D37</f>
        <v>44.4069829273536</v>
      </c>
      <c r="L37" s="10" t="n">
        <f aca="false">H37/D37</f>
        <v>2.3905325443787</v>
      </c>
    </row>
    <row r="38" customFormat="false" ht="15" hidden="false" customHeight="false" outlineLevel="0" collapsed="false">
      <c r="A38" s="4" t="s">
        <v>45</v>
      </c>
      <c r="B38" s="5" t="s">
        <v>21</v>
      </c>
      <c r="C38" s="5" t="s">
        <v>22</v>
      </c>
      <c r="D38" s="6" t="n">
        <v>16.3</v>
      </c>
      <c r="E38" s="7" t="n">
        <v>412</v>
      </c>
      <c r="F38" s="7" t="n">
        <v>2240</v>
      </c>
      <c r="G38" s="8" t="n">
        <f aca="false">F38/4.184</f>
        <v>535.372848948375</v>
      </c>
      <c r="H38" s="7" t="n">
        <v>33.2</v>
      </c>
      <c r="I38" s="9" t="n">
        <f aca="false">E38/D38</f>
        <v>25.2760736196319</v>
      </c>
      <c r="J38" s="8" t="n">
        <f aca="false">F38/D38</f>
        <v>137.423312883436</v>
      </c>
      <c r="K38" s="8" t="n">
        <f aca="false">G38/D38</f>
        <v>32.8449600581825</v>
      </c>
      <c r="L38" s="10" t="n">
        <f aca="false">H38/D38</f>
        <v>2.03680981595092</v>
      </c>
    </row>
    <row r="39" customFormat="false" ht="15" hidden="false" customHeight="false" outlineLevel="0" collapsed="false">
      <c r="A39" s="4" t="s">
        <v>14</v>
      </c>
      <c r="B39" s="5" t="s">
        <v>15</v>
      </c>
      <c r="C39" s="5" t="s">
        <v>16</v>
      </c>
      <c r="D39" s="6" t="n">
        <v>2.5</v>
      </c>
      <c r="E39" s="7" t="n">
        <v>190</v>
      </c>
      <c r="F39" s="7" t="n">
        <v>1170</v>
      </c>
      <c r="G39" s="8" t="n">
        <f aca="false">F39/4.184</f>
        <v>279.636711281071</v>
      </c>
      <c r="H39" s="7" t="n">
        <v>6.5</v>
      </c>
      <c r="I39" s="9" t="n">
        <f aca="false">E39/D39</f>
        <v>76</v>
      </c>
      <c r="J39" s="8" t="n">
        <f aca="false">F39/D39</f>
        <v>468</v>
      </c>
      <c r="K39" s="8" t="n">
        <f aca="false">G39/D39</f>
        <v>111.854684512428</v>
      </c>
      <c r="L39" s="10" t="n">
        <f aca="false">H39/D39</f>
        <v>2.6</v>
      </c>
    </row>
    <row r="40" customFormat="false" ht="15" hidden="false" customHeight="false" outlineLevel="0" collapsed="false">
      <c r="A40" s="4" t="s">
        <v>25</v>
      </c>
      <c r="B40" s="5" t="s">
        <v>15</v>
      </c>
      <c r="C40" s="5" t="s">
        <v>26</v>
      </c>
      <c r="D40" s="6" t="n">
        <v>5.5</v>
      </c>
      <c r="E40" s="7" t="n">
        <v>194</v>
      </c>
      <c r="F40" s="7" t="n">
        <v>1350</v>
      </c>
      <c r="G40" s="8" t="n">
        <f aca="false">F40/4.184</f>
        <v>322.657743785851</v>
      </c>
      <c r="H40" s="7" t="n">
        <v>17.5</v>
      </c>
      <c r="I40" s="9" t="n">
        <f aca="false">E40/D40</f>
        <v>35.2727272727273</v>
      </c>
      <c r="J40" s="8" t="n">
        <f aca="false">F40/D40</f>
        <v>245.454545454545</v>
      </c>
      <c r="K40" s="8" t="n">
        <f aca="false">G40/D40</f>
        <v>58.6650443247002</v>
      </c>
      <c r="L40" s="10" t="n">
        <f aca="false">H40/D40</f>
        <v>3.18181818181818</v>
      </c>
    </row>
    <row r="41" customFormat="false" ht="15" hidden="false" customHeight="false" outlineLevel="0" collapsed="false">
      <c r="A41" s="4" t="s">
        <v>29</v>
      </c>
      <c r="B41" s="5" t="s">
        <v>15</v>
      </c>
      <c r="C41" s="5"/>
      <c r="D41" s="6" t="n">
        <v>1.4</v>
      </c>
      <c r="E41" s="7" t="n">
        <v>45</v>
      </c>
      <c r="F41" s="7" t="n">
        <v>955</v>
      </c>
      <c r="G41" s="8" t="n">
        <f aca="false">F41/4.184</f>
        <v>228.250478011472</v>
      </c>
      <c r="H41" s="7" t="n">
        <v>2.1</v>
      </c>
      <c r="I41" s="9" t="n">
        <f aca="false">E41/D41</f>
        <v>32.1428571428571</v>
      </c>
      <c r="J41" s="8" t="n">
        <f aca="false">F41/D41</f>
        <v>682.142857142857</v>
      </c>
      <c r="K41" s="8" t="n">
        <f aca="false">G41/D41</f>
        <v>163.03605572248</v>
      </c>
      <c r="L41" s="10" t="n">
        <f aca="false">H41/D41</f>
        <v>1.5</v>
      </c>
    </row>
    <row r="42" customFormat="false" ht="15" hidden="false" customHeight="false" outlineLevel="0" collapsed="false">
      <c r="A42" s="4" t="s">
        <v>39</v>
      </c>
      <c r="B42" s="5" t="s">
        <v>15</v>
      </c>
      <c r="C42" s="5" t="s">
        <v>40</v>
      </c>
      <c r="D42" s="6" t="n">
        <v>4.5</v>
      </c>
      <c r="E42" s="7" t="n">
        <v>123</v>
      </c>
      <c r="F42" s="7" t="n">
        <v>1540</v>
      </c>
      <c r="G42" s="8" t="n">
        <f aca="false">F42/4.184</f>
        <v>368.068833652008</v>
      </c>
      <c r="H42" s="7" t="n">
        <v>14.5</v>
      </c>
      <c r="I42" s="9" t="n">
        <f aca="false">E42/D42</f>
        <v>27.3333333333333</v>
      </c>
      <c r="J42" s="8" t="n">
        <f aca="false">F42/D42</f>
        <v>342.222222222222</v>
      </c>
      <c r="K42" s="8" t="n">
        <f aca="false">G42/D42</f>
        <v>81.7930741448906</v>
      </c>
      <c r="L42" s="10" t="n">
        <f aca="false">H42/D42</f>
        <v>3.22222222222222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2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53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2" t="s">
        <v>54</v>
      </c>
    </row>
    <row r="6" customFormat="false" ht="15" hidden="false" customHeight="false" outlineLevel="0" collapsed="false">
      <c r="A6" s="11" t="s">
        <v>55</v>
      </c>
    </row>
    <row r="7" customFormat="false" ht="15" hidden="false" customHeight="false" outlineLevel="0" collapsed="false">
      <c r="A7" s="11" t="s">
        <v>56</v>
      </c>
    </row>
    <row r="8" customFormat="false" ht="15" hidden="false" customHeight="false" outlineLevel="0" collapsed="false">
      <c r="A8" s="11" t="s">
        <v>57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2" t="s">
        <v>58</v>
      </c>
    </row>
    <row r="11" customFormat="false" ht="15" hidden="false" customHeight="false" outlineLevel="0" collapsed="false">
      <c r="A11" s="11" t="s">
        <v>59</v>
      </c>
    </row>
    <row r="12" customFormat="false" ht="15" hidden="false" customHeight="false" outlineLevel="0" collapsed="false">
      <c r="A12" s="11" t="s">
        <v>60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2" t="s">
        <v>61</v>
      </c>
    </row>
    <row r="15" customFormat="false" ht="15" hidden="false" customHeight="false" outlineLevel="0" collapsed="false">
      <c r="A15" s="11" t="s">
        <v>62</v>
      </c>
    </row>
    <row r="16" customFormat="false" ht="15" hidden="false" customHeight="false" outlineLevel="0" collapsed="false">
      <c r="A16" s="11" t="s">
        <v>63</v>
      </c>
    </row>
    <row r="17" customFormat="false" ht="15" hidden="false" customHeight="false" outlineLevel="0" collapsed="false">
      <c r="A17" s="11"/>
    </row>
    <row r="18" customFormat="false" ht="15" hidden="false" customHeight="false" outlineLevel="0" collapsed="false">
      <c r="A18" s="12" t="s">
        <v>64</v>
      </c>
    </row>
    <row r="19" customFormat="false" ht="15" hidden="false" customHeight="false" outlineLevel="0" collapsed="false">
      <c r="A19" s="11" t="s">
        <v>65</v>
      </c>
    </row>
    <row r="20" customFormat="false" ht="15" hidden="false" customHeight="false" outlineLevel="0" collapsed="false">
      <c r="A20" s="11" t="s">
        <v>66</v>
      </c>
    </row>
    <row r="21" customFormat="false" ht="15" hidden="false" customHeight="false" outlineLevel="0" collapsed="false">
      <c r="A21" s="11" t="s">
        <v>67</v>
      </c>
    </row>
    <row r="22" customFormat="false" ht="15" hidden="false" customHeight="false" outlineLevel="0" collapsed="false">
      <c r="A22" s="11" t="s">
        <v>68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2026-06-01T02:28:03Z</dcterms:created>
  <dc:creator>openpyxl</dc:creator>
  <dc:description/>
  <dc:language>en-US</dc:language>
  <cp:lastModifiedBy/>
  <dcterms:modified xsi:type="dcterms:W3CDTF">2026-06-01T02:28:03Z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