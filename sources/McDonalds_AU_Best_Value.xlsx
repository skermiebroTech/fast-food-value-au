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Value (g per $)" sheetId="1" state="visible" r:id="rId3"/>
    <sheet name="Best Value (kJ per $)" sheetId="2" state="visible" r:id="rId4"/>
    <sheet name="Best Value (protein per $)" sheetId="3" state="visible" r:id="rId5"/>
    <sheet name="All Items (by category)" sheetId="4" state="visible" r:id="rId6"/>
    <sheet name="Notes &amp; Meth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<sst xmlns="http://schemas.openxmlformats.org/spreadsheetml/2006/main" count="273" uniqueCount="68">
  <si>
    <t xml:space="preserve">McDonald's Australia — Best Value Food (most food per dollar)</t>
  </si>
  <si>
    <t xml:space="preserve">Ranked by grams of food per dollar. Prices = approx AU board price (varies by store; Loose Change/McSmart deals beat these). Nutrition = McDonald's AU published figures.</t>
  </si>
  <si>
    <t xml:space="preserve">Item</t>
  </si>
  <si>
    <t xml:space="preserve">Category</t>
  </si>
  <si>
    <t xml:space="preserve">Note</t>
  </si>
  <si>
    <t xml:space="preserve">Price ($AUD)</t>
  </si>
  <si>
    <t xml:space="preserve">Serve (g)</t>
  </si>
  <si>
    <t xml:space="preserve">Energy (kJ)</t>
  </si>
  <si>
    <t xml:space="preserve">Energy (Cal)</t>
  </si>
  <si>
    <t xml:space="preserve">Protein (g)</t>
  </si>
  <si>
    <t xml:space="preserve">Grams / $</t>
  </si>
  <si>
    <t xml:space="preserve">kJ / $</t>
  </si>
  <si>
    <t xml:space="preserve">Cal / $</t>
  </si>
  <si>
    <t xml:space="preserve">Protein g / $</t>
  </si>
  <si>
    <t xml:space="preserve">Soft Serve Cone</t>
  </si>
  <si>
    <t xml:space="preserve">Dessert</t>
  </si>
  <si>
    <t xml:space="preserve">Hot Fudge Sundae</t>
  </si>
  <si>
    <t xml:space="preserve">Large Fries</t>
  </si>
  <si>
    <t xml:space="preserve">Side</t>
  </si>
  <si>
    <t xml:space="preserve">Medium Fries</t>
  </si>
  <si>
    <t xml:space="preserve">Big Breakfast</t>
  </si>
  <si>
    <t xml:space="preserve">Breakfast</t>
  </si>
  <si>
    <t xml:space="preserve">Cheeseburger</t>
  </si>
  <si>
    <t xml:space="preserve">Burger</t>
  </si>
  <si>
    <t xml:space="preserve">Small Fries</t>
  </si>
  <si>
    <t xml:space="preserve">Hamburger</t>
  </si>
  <si>
    <t xml:space="preserve">McCrispy</t>
  </si>
  <si>
    <t xml:space="preserve">Chicken</t>
  </si>
  <si>
    <t xml:space="preserve">Double Quarter Pounder w/ Cheese</t>
  </si>
  <si>
    <t xml:space="preserve">Bacon &amp; Egg McMuffin</t>
  </si>
  <si>
    <t xml:space="preserve">McDouble</t>
  </si>
  <si>
    <t xml:space="preserve">often ~$3 on deal</t>
  </si>
  <si>
    <t xml:space="preserve">Double Cheeseburger</t>
  </si>
  <si>
    <t xml:space="preserve">Sausage McMuffin</t>
  </si>
  <si>
    <t xml:space="preserve">McChicken</t>
  </si>
  <si>
    <t xml:space="preserve">Big Mac</t>
  </si>
  <si>
    <t xml:space="preserve">Apple Pie</t>
  </si>
  <si>
    <t xml:space="preserve">Quarter Pounder w/ Cheese</t>
  </si>
  <si>
    <t xml:space="preserve">McNuggets (20pc)</t>
  </si>
  <si>
    <t xml:space="preserve">share box</t>
  </si>
  <si>
    <t xml:space="preserve">Choc Chip Cookie</t>
  </si>
  <si>
    <t xml:space="preserve">Hash Brown</t>
  </si>
  <si>
    <t xml:space="preserve">Filet-O-Fish</t>
  </si>
  <si>
    <t xml:space="preserve">McNuggets (10pc)</t>
  </si>
  <si>
    <t xml:space="preserve">McNuggets (6pc)</t>
  </si>
  <si>
    <t xml:space="preserve">McDonald's Australia — Best Energy Value (kJ per dollar)</t>
  </si>
  <si>
    <t xml:space="preserve">Ranked by kilojoules per dollar (energy bang-for-buck).</t>
  </si>
  <si>
    <t xml:space="preserve">McDonald's Australia — Best Protein Value (protein g per dollar)</t>
  </si>
  <si>
    <t xml:space="preserve">Ranked by grams of protein per dollar.</t>
  </si>
  <si>
    <t xml:space="preserve">McDonald's Australia — All Items</t>
  </si>
  <si>
    <t xml:space="preserve">Grouped by category, alphabetical. Gold column = the headline 'food per dollar' metric.</t>
  </si>
  <si>
    <t xml:space="preserve">Notes &amp; Method</t>
  </si>
  <si>
    <t xml:space="preserve">ASSUMED COUNTRY: Australia (Macca's), to match the GYG Australia spreadsheet. Tell me if you want a different country.</t>
  </si>
  <si>
    <t xml:space="preserve">PRICES (BIG CAVEAT): McDonald's Australia prices are set by individual franchisees and vary noticeably store to store,</t>
  </si>
  <si>
    <t xml:space="preserve">by channel (in-store vs delivery apps add markups), and over time. The prices here are approximate standard board prices</t>
  </si>
  <si>
    <t xml:space="preserve">assembled from Australian price trackers (e.g. PriceListo AU, Frugal Feeds) c. late 2025 / 2026. Treat them as a guide and</t>
  </si>
  <si>
    <t xml:space="preserve">check the MyMacca's app for your store. The app's Loose Change Menu and bundle deals (e.g. McSmart Meal ~$6.95 for</t>
  </si>
  <si>
    <t xml:space="preserve">2 cheeseburgers + small fries + small drink; McDouble often ~$3) are usually far better value than ordering a la carte.</t>
  </si>
  <si>
    <t xml:space="preserve">NUTRITION: Serve size (g), energy (kJ) and protein (g) are McDonald's Australia published figures (standard formulations).</t>
  </si>
  <si>
    <t xml:space="preserve">Australian values differ from US/UK McDonald's. Energy (Cal) is calculated as kJ / 4.184. Verify on the app/site as products change.</t>
  </si>
  <si>
    <t xml:space="preserve">METRICS:</t>
  </si>
  <si>
    <t xml:space="preserve">Grams / $  = serve size (g) / price  -&gt;  the literal 'most food per dollar' measure (headline, gold column).</t>
  </si>
  <si>
    <t xml:space="preserve">kJ / $     = energy (kJ) / price      -&gt;  most energy per dollar.</t>
  </si>
  <si>
    <t xml:space="preserve">Protein g / $ = protein (g) / price  -&gt;  most protein per dollar.</t>
  </si>
  <si>
    <t xml:space="preserve">CAVEAT ON 'FOOD PER DOLLAR': grams/$ rewards cheap, heavy or fried items. Fries, the 20pc nuggets share box, and the</t>
  </si>
  <si>
    <t xml:space="preserve">cheap double burgers dominate weight- and energy-per-dollar; the Big Mac / Quarter Pounder are mid-pack on value.</t>
  </si>
  <si>
    <t xml:space="preserve">For protein per dollar, the double beef burgers and large nugget boxes win.</t>
  </si>
  <si>
    <t xml:space="preserve">All value columns are live Excel formulas — edit any price or serve size and the rankings update.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</si>
</sst>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#,##0.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A291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C72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A291C"/>
        <bgColor rgb="FFFF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72C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/>
      <c r="D5" s="6" t="n">
        <v>1.5</v>
      </c>
      <c r="E5" s="7" t="n">
        <v>90</v>
      </c>
      <c r="F5" s="7" t="n">
        <v>770</v>
      </c>
      <c r="G5" s="8" t="n">
        <f aca="false">F5/4.184</f>
        <v>184.034416826004</v>
      </c>
      <c r="H5" s="7" t="n">
        <v>4</v>
      </c>
      <c r="I5" s="9" t="n">
        <f aca="false">E5/D5</f>
        <v>60</v>
      </c>
      <c r="J5" s="8" t="n">
        <f aca="false">F5/D5</f>
        <v>513.333333333333</v>
      </c>
      <c r="K5" s="8" t="n">
        <f aca="false">G5/D5</f>
        <v>122.689611217336</v>
      </c>
      <c r="L5" s="10" t="n">
        <f aca="false">H5/D5</f>
        <v>2.66666666666667</v>
      </c>
    </row>
    <row r="6" customFormat="false" ht="15" hidden="false" customHeight="false" outlineLevel="0" collapsed="false">
      <c r="A6" s="4" t="s">
        <v>16</v>
      </c>
      <c r="B6" s="5" t="s">
        <v>15</v>
      </c>
      <c r="C6" s="5"/>
      <c r="D6" s="6" t="n">
        <v>4.2</v>
      </c>
      <c r="E6" s="7" t="n">
        <v>179</v>
      </c>
      <c r="F6" s="7" t="n">
        <v>1390</v>
      </c>
      <c r="G6" s="8" t="n">
        <f aca="false">F6/4.184</f>
        <v>332.217973231358</v>
      </c>
      <c r="H6" s="7" t="n">
        <v>6</v>
      </c>
      <c r="I6" s="9" t="n">
        <f aca="false">E6/D6</f>
        <v>42.6190476190476</v>
      </c>
      <c r="J6" s="8" t="n">
        <f aca="false">F6/D6</f>
        <v>330.952380952381</v>
      </c>
      <c r="K6" s="8" t="n">
        <f aca="false">G6/D6</f>
        <v>79.0995174360375</v>
      </c>
      <c r="L6" s="10" t="n">
        <f aca="false">H6/D6</f>
        <v>1.42857142857143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/>
      <c r="D7" s="6" t="n">
        <v>5.95</v>
      </c>
      <c r="E7" s="7" t="n">
        <v>200</v>
      </c>
      <c r="F7" s="7" t="n">
        <v>2290</v>
      </c>
      <c r="G7" s="8" t="n">
        <f aca="false">F7/4.184</f>
        <v>547.323135755258</v>
      </c>
      <c r="H7" s="7" t="n">
        <v>8</v>
      </c>
      <c r="I7" s="9" t="n">
        <f aca="false">E7/D7</f>
        <v>33.6134453781513</v>
      </c>
      <c r="J7" s="8" t="n">
        <f aca="false">F7/D7</f>
        <v>384.873949579832</v>
      </c>
      <c r="K7" s="8" t="n">
        <f aca="false">G7/D7</f>
        <v>91.9870816395392</v>
      </c>
      <c r="L7" s="10" t="n">
        <f aca="false">H7/D7</f>
        <v>1.34453781512605</v>
      </c>
    </row>
    <row r="8" customFormat="false" ht="15" hidden="false" customHeight="false" outlineLevel="0" collapsed="false">
      <c r="A8" s="4" t="s">
        <v>19</v>
      </c>
      <c r="B8" s="5" t="s">
        <v>18</v>
      </c>
      <c r="C8" s="5"/>
      <c r="D8" s="6" t="n">
        <v>5.25</v>
      </c>
      <c r="E8" s="7" t="n">
        <v>150</v>
      </c>
      <c r="F8" s="7" t="n">
        <v>1720</v>
      </c>
      <c r="G8" s="8" t="n">
        <f aca="false">F8/4.184</f>
        <v>411.089866156788</v>
      </c>
      <c r="H8" s="7" t="n">
        <v>6</v>
      </c>
      <c r="I8" s="9" t="n">
        <f aca="false">E8/D8</f>
        <v>28.5714285714286</v>
      </c>
      <c r="J8" s="8" t="n">
        <f aca="false">F8/D8</f>
        <v>327.619047619048</v>
      </c>
      <c r="K8" s="8" t="n">
        <f aca="false">G8/D8</f>
        <v>78.302831648912</v>
      </c>
      <c r="L8" s="10" t="n">
        <f aca="false">H8/D8</f>
        <v>1.14285714285714</v>
      </c>
    </row>
    <row r="9" customFormat="false" ht="15" hidden="false" customHeight="false" outlineLevel="0" collapsed="false">
      <c r="A9" s="4" t="s">
        <v>20</v>
      </c>
      <c r="B9" s="5" t="s">
        <v>21</v>
      </c>
      <c r="C9" s="5"/>
      <c r="D9" s="6" t="n">
        <v>10.6</v>
      </c>
      <c r="E9" s="7" t="n">
        <v>290</v>
      </c>
      <c r="F9" s="7" t="n">
        <v>4280</v>
      </c>
      <c r="G9" s="8" t="n">
        <f aca="false">F9/4.184</f>
        <v>1022.94455066922</v>
      </c>
      <c r="H9" s="7" t="n">
        <v>27</v>
      </c>
      <c r="I9" s="9" t="n">
        <f aca="false">E9/D9</f>
        <v>27.3584905660377</v>
      </c>
      <c r="J9" s="8" t="n">
        <f aca="false">F9/D9</f>
        <v>403.77358490566</v>
      </c>
      <c r="K9" s="8" t="n">
        <f aca="false">G9/D9</f>
        <v>96.5042028933223</v>
      </c>
      <c r="L9" s="10" t="n">
        <f aca="false">H9/D9</f>
        <v>2.54716981132076</v>
      </c>
    </row>
    <row r="10" customFormat="false" ht="15" hidden="false" customHeight="false" outlineLevel="0" collapsed="false">
      <c r="A10" s="4" t="s">
        <v>22</v>
      </c>
      <c r="B10" s="5" t="s">
        <v>23</v>
      </c>
      <c r="C10" s="5"/>
      <c r="D10" s="6" t="n">
        <v>4.3</v>
      </c>
      <c r="E10" s="7" t="n">
        <v>114</v>
      </c>
      <c r="F10" s="7" t="n">
        <v>1290</v>
      </c>
      <c r="G10" s="8" t="n">
        <f aca="false">F10/4.184</f>
        <v>308.317399617591</v>
      </c>
      <c r="H10" s="7" t="n">
        <v>16</v>
      </c>
      <c r="I10" s="9" t="n">
        <f aca="false">E10/D10</f>
        <v>26.5116279069767</v>
      </c>
      <c r="J10" s="8" t="n">
        <f aca="false">F10/D10</f>
        <v>300</v>
      </c>
      <c r="K10" s="8" t="n">
        <f aca="false">G10/D10</f>
        <v>71.7017208413002</v>
      </c>
      <c r="L10" s="10" t="n">
        <f aca="false">H10/D10</f>
        <v>3.72093023255814</v>
      </c>
    </row>
    <row r="11" customFormat="false" ht="15" hidden="false" customHeight="false" outlineLevel="0" collapsed="false">
      <c r="A11" s="4" t="s">
        <v>24</v>
      </c>
      <c r="B11" s="5" t="s">
        <v>18</v>
      </c>
      <c r="C11" s="5"/>
      <c r="D11" s="6" t="n">
        <v>4.55</v>
      </c>
      <c r="E11" s="7" t="n">
        <v>116</v>
      </c>
      <c r="F11" s="7" t="n">
        <v>1330</v>
      </c>
      <c r="G11" s="8" t="n">
        <f aca="false">F11/4.184</f>
        <v>317.877629063098</v>
      </c>
      <c r="H11" s="7" t="n">
        <v>5</v>
      </c>
      <c r="I11" s="9" t="n">
        <f aca="false">E11/D11</f>
        <v>25.4945054945055</v>
      </c>
      <c r="J11" s="8" t="n">
        <f aca="false">F11/D11</f>
        <v>292.307692307692</v>
      </c>
      <c r="K11" s="8" t="n">
        <f aca="false">G11/D11</f>
        <v>69.8632151787028</v>
      </c>
      <c r="L11" s="10" t="n">
        <f aca="false">H11/D11</f>
        <v>1.0989010989011</v>
      </c>
    </row>
    <row r="12" customFormat="false" ht="15" hidden="false" customHeight="false" outlineLevel="0" collapsed="false">
      <c r="A12" s="4" t="s">
        <v>25</v>
      </c>
      <c r="B12" s="5" t="s">
        <v>23</v>
      </c>
      <c r="C12" s="5"/>
      <c r="D12" s="6" t="n">
        <v>3.95</v>
      </c>
      <c r="E12" s="7" t="n">
        <v>100</v>
      </c>
      <c r="F12" s="7" t="n">
        <v>1080</v>
      </c>
      <c r="G12" s="8" t="n">
        <f aca="false">F12/4.184</f>
        <v>258.126195028681</v>
      </c>
      <c r="H12" s="7" t="n">
        <v>13</v>
      </c>
      <c r="I12" s="9" t="n">
        <f aca="false">E12/D12</f>
        <v>25.3164556962025</v>
      </c>
      <c r="J12" s="8" t="n">
        <f aca="false">F12/D12</f>
        <v>273.417721518987</v>
      </c>
      <c r="K12" s="8" t="n">
        <f aca="false">G12/D12</f>
        <v>65.3484038047293</v>
      </c>
      <c r="L12" s="10" t="n">
        <f aca="false">H12/D12</f>
        <v>3.29113924050633</v>
      </c>
    </row>
    <row r="13" customFormat="false" ht="15" hidden="false" customHeight="false" outlineLevel="0" collapsed="false">
      <c r="A13" s="4" t="s">
        <v>26</v>
      </c>
      <c r="B13" s="5" t="s">
        <v>27</v>
      </c>
      <c r="C13" s="5"/>
      <c r="D13" s="6" t="n">
        <v>8.85</v>
      </c>
      <c r="E13" s="7" t="n">
        <v>213</v>
      </c>
      <c r="F13" s="7" t="n">
        <v>2280</v>
      </c>
      <c r="G13" s="8" t="n">
        <f aca="false">F13/4.184</f>
        <v>544.933078393882</v>
      </c>
      <c r="H13" s="7" t="n">
        <v>28</v>
      </c>
      <c r="I13" s="9" t="n">
        <f aca="false">E13/D13</f>
        <v>24.0677966101695</v>
      </c>
      <c r="J13" s="8" t="n">
        <f aca="false">F13/D13</f>
        <v>257.627118644068</v>
      </c>
      <c r="K13" s="8" t="n">
        <f aca="false">G13/D13</f>
        <v>61.5743591405516</v>
      </c>
      <c r="L13" s="10" t="n">
        <f aca="false">H13/D13</f>
        <v>3.1638418079096</v>
      </c>
    </row>
    <row r="14" customFormat="false" ht="15" hidden="false" customHeight="false" outlineLevel="0" collapsed="false">
      <c r="A14" s="4" t="s">
        <v>28</v>
      </c>
      <c r="B14" s="5" t="s">
        <v>23</v>
      </c>
      <c r="C14" s="5"/>
      <c r="D14" s="6" t="n">
        <v>11.3</v>
      </c>
      <c r="E14" s="7" t="n">
        <v>271</v>
      </c>
      <c r="F14" s="7" t="n">
        <v>3270</v>
      </c>
      <c r="G14" s="8" t="n">
        <f aca="false">F14/4.184</f>
        <v>781.548757170172</v>
      </c>
      <c r="H14" s="7" t="n">
        <v>47</v>
      </c>
      <c r="I14" s="9" t="n">
        <f aca="false">E14/D14</f>
        <v>23.9823008849558</v>
      </c>
      <c r="J14" s="8" t="n">
        <f aca="false">F14/D14</f>
        <v>289.380530973451</v>
      </c>
      <c r="K14" s="8" t="n">
        <f aca="false">G14/D14</f>
        <v>69.1636068292188</v>
      </c>
      <c r="L14" s="10" t="n">
        <f aca="false">H14/D14</f>
        <v>4.15929203539823</v>
      </c>
    </row>
    <row r="15" customFormat="false" ht="15" hidden="false" customHeight="false" outlineLevel="0" collapsed="false">
      <c r="A15" s="4" t="s">
        <v>29</v>
      </c>
      <c r="B15" s="5" t="s">
        <v>21</v>
      </c>
      <c r="C15" s="5"/>
      <c r="D15" s="6" t="n">
        <v>6.5</v>
      </c>
      <c r="E15" s="7" t="n">
        <v>155</v>
      </c>
      <c r="F15" s="7" t="n">
        <v>1480</v>
      </c>
      <c r="G15" s="8" t="n">
        <f aca="false">F15/4.184</f>
        <v>353.728489483748</v>
      </c>
      <c r="H15" s="7" t="n">
        <v>19</v>
      </c>
      <c r="I15" s="9" t="n">
        <f aca="false">E15/D15</f>
        <v>23.8461538461538</v>
      </c>
      <c r="J15" s="8" t="n">
        <f aca="false">F15/D15</f>
        <v>227.692307692308</v>
      </c>
      <c r="K15" s="8" t="n">
        <f aca="false">G15/D15</f>
        <v>54.4197676128842</v>
      </c>
      <c r="L15" s="10" t="n">
        <f aca="false">H15/D15</f>
        <v>2.92307692307692</v>
      </c>
    </row>
    <row r="16" customFormat="false" ht="15" hidden="false" customHeight="false" outlineLevel="0" collapsed="false">
      <c r="A16" s="4" t="s">
        <v>30</v>
      </c>
      <c r="B16" s="5" t="s">
        <v>23</v>
      </c>
      <c r="C16" s="5" t="s">
        <v>31</v>
      </c>
      <c r="D16" s="6" t="n">
        <v>6.35</v>
      </c>
      <c r="E16" s="7" t="n">
        <v>150</v>
      </c>
      <c r="F16" s="7" t="n">
        <v>1700</v>
      </c>
      <c r="G16" s="8" t="n">
        <f aca="false">F16/4.184</f>
        <v>406.309751434034</v>
      </c>
      <c r="H16" s="7" t="n">
        <v>23</v>
      </c>
      <c r="I16" s="9" t="n">
        <f aca="false">E16/D16</f>
        <v>23.6220472440945</v>
      </c>
      <c r="J16" s="8" t="n">
        <f aca="false">F16/D16</f>
        <v>267.716535433071</v>
      </c>
      <c r="K16" s="8" t="n">
        <f aca="false">G16/D16</f>
        <v>63.985787627407</v>
      </c>
      <c r="L16" s="10" t="n">
        <f aca="false">H16/D16</f>
        <v>3.62204724409449</v>
      </c>
    </row>
    <row r="17" customFormat="false" ht="15" hidden="false" customHeight="false" outlineLevel="0" collapsed="false">
      <c r="A17" s="4" t="s">
        <v>32</v>
      </c>
      <c r="B17" s="5" t="s">
        <v>23</v>
      </c>
      <c r="C17" s="5"/>
      <c r="D17" s="6" t="n">
        <v>7.05</v>
      </c>
      <c r="E17" s="7" t="n">
        <v>166</v>
      </c>
      <c r="F17" s="7" t="n">
        <v>1910</v>
      </c>
      <c r="G17" s="8" t="n">
        <f aca="false">F17/4.184</f>
        <v>456.500956022945</v>
      </c>
      <c r="H17" s="7" t="n">
        <v>26</v>
      </c>
      <c r="I17" s="9" t="n">
        <f aca="false">E17/D17</f>
        <v>23.5460992907801</v>
      </c>
      <c r="J17" s="8" t="n">
        <f aca="false">F17/D17</f>
        <v>270.921985815603</v>
      </c>
      <c r="K17" s="8" t="n">
        <f aca="false">G17/D17</f>
        <v>64.7519086557368</v>
      </c>
      <c r="L17" s="10" t="n">
        <f aca="false">H17/D17</f>
        <v>3.68794326241135</v>
      </c>
    </row>
    <row r="18" customFormat="false" ht="15" hidden="false" customHeight="false" outlineLevel="0" collapsed="false">
      <c r="A18" s="4" t="s">
        <v>33</v>
      </c>
      <c r="B18" s="5" t="s">
        <v>21</v>
      </c>
      <c r="C18" s="5"/>
      <c r="D18" s="6" t="n">
        <v>4.95</v>
      </c>
      <c r="E18" s="7" t="n">
        <v>114</v>
      </c>
      <c r="F18" s="7" t="n">
        <v>1430</v>
      </c>
      <c r="G18" s="8" t="n">
        <f aca="false">F18/4.184</f>
        <v>341.778202676864</v>
      </c>
      <c r="H18" s="7" t="n">
        <v>14</v>
      </c>
      <c r="I18" s="9" t="n">
        <f aca="false">E18/D18</f>
        <v>23.030303030303</v>
      </c>
      <c r="J18" s="8" t="n">
        <f aca="false">F18/D18</f>
        <v>288.888888888889</v>
      </c>
      <c r="K18" s="8" t="n">
        <f aca="false">G18/D18</f>
        <v>69.0461015508817</v>
      </c>
      <c r="L18" s="10" t="n">
        <f aca="false">H18/D18</f>
        <v>2.82828282828283</v>
      </c>
    </row>
    <row r="19" customFormat="false" ht="15" hidden="false" customHeight="false" outlineLevel="0" collapsed="false">
      <c r="A19" s="4" t="s">
        <v>34</v>
      </c>
      <c r="B19" s="5" t="s">
        <v>27</v>
      </c>
      <c r="C19" s="5"/>
      <c r="D19" s="6" t="n">
        <v>6.3</v>
      </c>
      <c r="E19" s="7" t="n">
        <v>145</v>
      </c>
      <c r="F19" s="7" t="n">
        <v>1640</v>
      </c>
      <c r="G19" s="8" t="n">
        <f aca="false">F19/4.184</f>
        <v>391.969407265774</v>
      </c>
      <c r="H19" s="7" t="n">
        <v>16</v>
      </c>
      <c r="I19" s="9" t="n">
        <f aca="false">E19/D19</f>
        <v>23.015873015873</v>
      </c>
      <c r="J19" s="8" t="n">
        <f aca="false">F19/D19</f>
        <v>260.31746031746</v>
      </c>
      <c r="K19" s="8" t="n">
        <f aca="false">G19/D19</f>
        <v>62.2173662326626</v>
      </c>
      <c r="L19" s="10" t="n">
        <f aca="false">H19/D19</f>
        <v>2.53968253968254</v>
      </c>
    </row>
    <row r="20" customFormat="false" ht="15" hidden="false" customHeight="false" outlineLevel="0" collapsed="false">
      <c r="A20" s="4" t="s">
        <v>35</v>
      </c>
      <c r="B20" s="5" t="s">
        <v>23</v>
      </c>
      <c r="C20" s="5"/>
      <c r="D20" s="6" t="n">
        <v>10.45</v>
      </c>
      <c r="E20" s="7" t="n">
        <v>215</v>
      </c>
      <c r="F20" s="7" t="n">
        <v>2050</v>
      </c>
      <c r="G20" s="8" t="n">
        <f aca="false">F20/4.184</f>
        <v>489.961759082218</v>
      </c>
      <c r="H20" s="7" t="n">
        <v>25</v>
      </c>
      <c r="I20" s="9" t="n">
        <f aca="false">E20/D20</f>
        <v>20.5741626794258</v>
      </c>
      <c r="J20" s="8" t="n">
        <f aca="false">F20/D20</f>
        <v>196.172248803828</v>
      </c>
      <c r="K20" s="8" t="n">
        <f aca="false">G20/D20</f>
        <v>46.8862927351405</v>
      </c>
      <c r="L20" s="10" t="n">
        <f aca="false">H20/D20</f>
        <v>2.39234449760766</v>
      </c>
    </row>
    <row r="21" customFormat="false" ht="15" hidden="false" customHeight="false" outlineLevel="0" collapsed="false">
      <c r="A21" s="4" t="s">
        <v>36</v>
      </c>
      <c r="B21" s="5" t="s">
        <v>15</v>
      </c>
      <c r="C21" s="5"/>
      <c r="D21" s="6" t="n">
        <v>4.05</v>
      </c>
      <c r="E21" s="7" t="n">
        <v>80</v>
      </c>
      <c r="F21" s="7" t="n">
        <v>1050</v>
      </c>
      <c r="G21" s="8" t="n">
        <f aca="false">F21/4.184</f>
        <v>250.956022944551</v>
      </c>
      <c r="H21" s="7" t="n">
        <v>3</v>
      </c>
      <c r="I21" s="9" t="n">
        <f aca="false">E21/D21</f>
        <v>19.7530864197531</v>
      </c>
      <c r="J21" s="8" t="n">
        <f aca="false">F21/D21</f>
        <v>259.259259259259</v>
      </c>
      <c r="K21" s="8" t="n">
        <f aca="false">G21/D21</f>
        <v>61.9644501097656</v>
      </c>
      <c r="L21" s="10" t="n">
        <f aca="false">H21/D21</f>
        <v>0.740740740740741</v>
      </c>
    </row>
    <row r="22" customFormat="false" ht="15" hidden="false" customHeight="false" outlineLevel="0" collapsed="false">
      <c r="A22" s="4" t="s">
        <v>37</v>
      </c>
      <c r="B22" s="5" t="s">
        <v>23</v>
      </c>
      <c r="C22" s="5"/>
      <c r="D22" s="6" t="n">
        <v>10.25</v>
      </c>
      <c r="E22" s="7" t="n">
        <v>196</v>
      </c>
      <c r="F22" s="7" t="n">
        <v>2230</v>
      </c>
      <c r="G22" s="8" t="n">
        <f aca="false">F22/4.184</f>
        <v>532.982791586998</v>
      </c>
      <c r="H22" s="7" t="n">
        <v>27</v>
      </c>
      <c r="I22" s="9" t="n">
        <f aca="false">E22/D22</f>
        <v>19.1219512195122</v>
      </c>
      <c r="J22" s="8" t="n">
        <f aca="false">F22/D22</f>
        <v>217.560975609756</v>
      </c>
      <c r="K22" s="8" t="n">
        <f aca="false">G22/D22</f>
        <v>51.9983211304388</v>
      </c>
      <c r="L22" s="10" t="n">
        <f aca="false">H22/D22</f>
        <v>2.63414634146341</v>
      </c>
    </row>
    <row r="23" customFormat="false" ht="15" hidden="false" customHeight="false" outlineLevel="0" collapsed="false">
      <c r="A23" s="4" t="s">
        <v>38</v>
      </c>
      <c r="B23" s="5" t="s">
        <v>27</v>
      </c>
      <c r="C23" s="5" t="s">
        <v>39</v>
      </c>
      <c r="D23" s="6" t="n">
        <v>17.9</v>
      </c>
      <c r="E23" s="7" t="n">
        <v>330</v>
      </c>
      <c r="F23" s="7" t="n">
        <v>3600</v>
      </c>
      <c r="G23" s="8" t="n">
        <f aca="false">F23/4.184</f>
        <v>860.420650095602</v>
      </c>
      <c r="H23" s="7" t="n">
        <v>53</v>
      </c>
      <c r="I23" s="9" t="n">
        <f aca="false">E23/D23</f>
        <v>18.4357541899441</v>
      </c>
      <c r="J23" s="8" t="n">
        <f aca="false">F23/D23</f>
        <v>201.117318435754</v>
      </c>
      <c r="K23" s="8" t="n">
        <f aca="false">G23/D23</f>
        <v>48.0681927427711</v>
      </c>
      <c r="L23" s="10" t="n">
        <f aca="false">H23/D23</f>
        <v>2.9608938547486</v>
      </c>
    </row>
    <row r="24" customFormat="false" ht="15" hidden="false" customHeight="false" outlineLevel="0" collapsed="false">
      <c r="A24" s="4" t="s">
        <v>40</v>
      </c>
      <c r="B24" s="5" t="s">
        <v>15</v>
      </c>
      <c r="C24" s="5"/>
      <c r="D24" s="6" t="n">
        <v>1.8</v>
      </c>
      <c r="E24" s="7" t="n">
        <v>33</v>
      </c>
      <c r="F24" s="7" t="n">
        <v>690</v>
      </c>
      <c r="G24" s="8" t="n">
        <f aca="false">F24/4.184</f>
        <v>164.91395793499</v>
      </c>
      <c r="H24" s="7" t="n">
        <v>2</v>
      </c>
      <c r="I24" s="9" t="n">
        <f aca="false">E24/D24</f>
        <v>18.3333333333333</v>
      </c>
      <c r="J24" s="8" t="n">
        <f aca="false">F24/D24</f>
        <v>383.333333333333</v>
      </c>
      <c r="K24" s="8" t="n">
        <f aca="false">G24/D24</f>
        <v>91.6188655194391</v>
      </c>
      <c r="L24" s="10" t="n">
        <f aca="false">H24/D24</f>
        <v>1.11111111111111</v>
      </c>
    </row>
    <row r="25" customFormat="false" ht="15" hidden="false" customHeight="false" outlineLevel="0" collapsed="false">
      <c r="A25" s="4" t="s">
        <v>41</v>
      </c>
      <c r="B25" s="5" t="s">
        <v>18</v>
      </c>
      <c r="C25" s="5"/>
      <c r="D25" s="6" t="n">
        <v>2.95</v>
      </c>
      <c r="E25" s="7" t="n">
        <v>53</v>
      </c>
      <c r="F25" s="7" t="n">
        <v>610</v>
      </c>
      <c r="G25" s="8" t="n">
        <f aca="false">F25/4.184</f>
        <v>145.793499043977</v>
      </c>
      <c r="H25" s="7" t="n">
        <v>2</v>
      </c>
      <c r="I25" s="9" t="n">
        <f aca="false">E25/D25</f>
        <v>17.9661016949153</v>
      </c>
      <c r="J25" s="8" t="n">
        <f aca="false">F25/D25</f>
        <v>206.779661016949</v>
      </c>
      <c r="K25" s="8" t="n">
        <f aca="false">G25/D25</f>
        <v>49.4215250996532</v>
      </c>
      <c r="L25" s="10" t="n">
        <f aca="false">H25/D25</f>
        <v>0.677966101694915</v>
      </c>
    </row>
    <row r="26" customFormat="false" ht="15" hidden="false" customHeight="false" outlineLevel="0" collapsed="false">
      <c r="A26" s="4" t="s">
        <v>42</v>
      </c>
      <c r="B26" s="5" t="s">
        <v>23</v>
      </c>
      <c r="C26" s="5"/>
      <c r="D26" s="6" t="n">
        <v>9.1</v>
      </c>
      <c r="E26" s="7" t="n">
        <v>132</v>
      </c>
      <c r="F26" s="7" t="n">
        <v>1490</v>
      </c>
      <c r="G26" s="8" t="n">
        <f aca="false">F26/4.184</f>
        <v>356.118546845124</v>
      </c>
      <c r="H26" s="7" t="n">
        <v>15</v>
      </c>
      <c r="I26" s="9" t="n">
        <f aca="false">E26/D26</f>
        <v>14.5054945054945</v>
      </c>
      <c r="J26" s="8" t="n">
        <f aca="false">F26/D26</f>
        <v>163.736263736264</v>
      </c>
      <c r="K26" s="8" t="n">
        <f aca="false">G26/D26</f>
        <v>39.133906246717</v>
      </c>
      <c r="L26" s="10" t="n">
        <f aca="false">H26/D26</f>
        <v>1.64835164835165</v>
      </c>
    </row>
    <row r="27" customFormat="false" ht="15" hidden="false" customHeight="false" outlineLevel="0" collapsed="false">
      <c r="A27" s="4" t="s">
        <v>43</v>
      </c>
      <c r="B27" s="5" t="s">
        <v>27</v>
      </c>
      <c r="C27" s="5"/>
      <c r="D27" s="6" t="n">
        <v>11.9</v>
      </c>
      <c r="E27" s="7" t="n">
        <v>165</v>
      </c>
      <c r="F27" s="7" t="n">
        <v>1800</v>
      </c>
      <c r="G27" s="8" t="n">
        <f aca="false">F27/4.184</f>
        <v>430.210325047801</v>
      </c>
      <c r="H27" s="7" t="n">
        <v>27</v>
      </c>
      <c r="I27" s="9" t="n">
        <f aca="false">E27/D27</f>
        <v>13.8655462184874</v>
      </c>
      <c r="J27" s="8" t="n">
        <f aca="false">F27/D27</f>
        <v>151.260504201681</v>
      </c>
      <c r="K27" s="8" t="n">
        <f aca="false">G27/D27</f>
        <v>36.1521281552774</v>
      </c>
      <c r="L27" s="10" t="n">
        <f aca="false">H27/D27</f>
        <v>2.26890756302521</v>
      </c>
    </row>
    <row r="28" customFormat="false" ht="15" hidden="false" customHeight="false" outlineLevel="0" collapsed="false">
      <c r="A28" s="4" t="s">
        <v>44</v>
      </c>
      <c r="B28" s="5" t="s">
        <v>27</v>
      </c>
      <c r="C28" s="5"/>
      <c r="D28" s="6" t="n">
        <v>7.6</v>
      </c>
      <c r="E28" s="7" t="n">
        <v>100</v>
      </c>
      <c r="F28" s="7" t="n">
        <v>1080</v>
      </c>
      <c r="G28" s="8" t="n">
        <f aca="false">F28/4.184</f>
        <v>258.126195028681</v>
      </c>
      <c r="H28" s="7" t="n">
        <v>16</v>
      </c>
      <c r="I28" s="9" t="n">
        <f aca="false">E28/D28</f>
        <v>13.1578947368421</v>
      </c>
      <c r="J28" s="8" t="n">
        <f aca="false">F28/D28</f>
        <v>142.105263157895</v>
      </c>
      <c r="K28" s="8" t="n">
        <f aca="false">G28/D28</f>
        <v>33.9639730300896</v>
      </c>
      <c r="L28" s="10" t="n">
        <f aca="false">H28/D28</f>
        <v>2.10526315789474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/>
      <c r="D5" s="6" t="n">
        <v>1.5</v>
      </c>
      <c r="E5" s="7" t="n">
        <v>90</v>
      </c>
      <c r="F5" s="7" t="n">
        <v>770</v>
      </c>
      <c r="G5" s="8" t="n">
        <f aca="false">F5/4.184</f>
        <v>184.034416826004</v>
      </c>
      <c r="H5" s="7" t="n">
        <v>4</v>
      </c>
      <c r="I5" s="9" t="n">
        <f aca="false">E5/D5</f>
        <v>60</v>
      </c>
      <c r="J5" s="8" t="n">
        <f aca="false">F5/D5</f>
        <v>513.333333333333</v>
      </c>
      <c r="K5" s="8" t="n">
        <f aca="false">G5/D5</f>
        <v>122.689611217336</v>
      </c>
      <c r="L5" s="10" t="n">
        <f aca="false">H5/D5</f>
        <v>2.66666666666667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/>
      <c r="D6" s="6" t="n">
        <v>10.6</v>
      </c>
      <c r="E6" s="7" t="n">
        <v>290</v>
      </c>
      <c r="F6" s="7" t="n">
        <v>4280</v>
      </c>
      <c r="G6" s="8" t="n">
        <f aca="false">F6/4.184</f>
        <v>1022.94455066922</v>
      </c>
      <c r="H6" s="7" t="n">
        <v>27</v>
      </c>
      <c r="I6" s="9" t="n">
        <f aca="false">E6/D6</f>
        <v>27.3584905660377</v>
      </c>
      <c r="J6" s="8" t="n">
        <f aca="false">F6/D6</f>
        <v>403.77358490566</v>
      </c>
      <c r="K6" s="8" t="n">
        <f aca="false">G6/D6</f>
        <v>96.5042028933223</v>
      </c>
      <c r="L6" s="10" t="n">
        <f aca="false">H6/D6</f>
        <v>2.54716981132076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/>
      <c r="D7" s="6" t="n">
        <v>5.95</v>
      </c>
      <c r="E7" s="7" t="n">
        <v>200</v>
      </c>
      <c r="F7" s="7" t="n">
        <v>2290</v>
      </c>
      <c r="G7" s="8" t="n">
        <f aca="false">F7/4.184</f>
        <v>547.323135755258</v>
      </c>
      <c r="H7" s="7" t="n">
        <v>8</v>
      </c>
      <c r="I7" s="9" t="n">
        <f aca="false">E7/D7</f>
        <v>33.6134453781513</v>
      </c>
      <c r="J7" s="8" t="n">
        <f aca="false">F7/D7</f>
        <v>384.873949579832</v>
      </c>
      <c r="K7" s="8" t="n">
        <f aca="false">G7/D7</f>
        <v>91.9870816395392</v>
      </c>
      <c r="L7" s="10" t="n">
        <f aca="false">H7/D7</f>
        <v>1.34453781512605</v>
      </c>
    </row>
    <row r="8" customFormat="false" ht="15" hidden="false" customHeight="false" outlineLevel="0" collapsed="false">
      <c r="A8" s="4" t="s">
        <v>40</v>
      </c>
      <c r="B8" s="5" t="s">
        <v>15</v>
      </c>
      <c r="C8" s="5"/>
      <c r="D8" s="6" t="n">
        <v>1.8</v>
      </c>
      <c r="E8" s="7" t="n">
        <v>33</v>
      </c>
      <c r="F8" s="7" t="n">
        <v>690</v>
      </c>
      <c r="G8" s="8" t="n">
        <f aca="false">F8/4.184</f>
        <v>164.91395793499</v>
      </c>
      <c r="H8" s="7" t="n">
        <v>2</v>
      </c>
      <c r="I8" s="9" t="n">
        <f aca="false">E8/D8</f>
        <v>18.3333333333333</v>
      </c>
      <c r="J8" s="8" t="n">
        <f aca="false">F8/D8</f>
        <v>383.333333333333</v>
      </c>
      <c r="K8" s="8" t="n">
        <f aca="false">G8/D8</f>
        <v>91.6188655194391</v>
      </c>
      <c r="L8" s="10" t="n">
        <f aca="false">H8/D8</f>
        <v>1.11111111111111</v>
      </c>
    </row>
    <row r="9" customFormat="false" ht="15" hidden="false" customHeight="false" outlineLevel="0" collapsed="false">
      <c r="A9" s="4" t="s">
        <v>16</v>
      </c>
      <c r="B9" s="5" t="s">
        <v>15</v>
      </c>
      <c r="C9" s="5"/>
      <c r="D9" s="6" t="n">
        <v>4.2</v>
      </c>
      <c r="E9" s="7" t="n">
        <v>179</v>
      </c>
      <c r="F9" s="7" t="n">
        <v>1390</v>
      </c>
      <c r="G9" s="8" t="n">
        <f aca="false">F9/4.184</f>
        <v>332.217973231358</v>
      </c>
      <c r="H9" s="7" t="n">
        <v>6</v>
      </c>
      <c r="I9" s="9" t="n">
        <f aca="false">E9/D9</f>
        <v>42.6190476190476</v>
      </c>
      <c r="J9" s="8" t="n">
        <f aca="false">F9/D9</f>
        <v>330.952380952381</v>
      </c>
      <c r="K9" s="8" t="n">
        <f aca="false">G9/D9</f>
        <v>79.0995174360375</v>
      </c>
      <c r="L9" s="10" t="n">
        <f aca="false">H9/D9</f>
        <v>1.42857142857143</v>
      </c>
    </row>
    <row r="10" customFormat="false" ht="15" hidden="false" customHeight="false" outlineLevel="0" collapsed="false">
      <c r="A10" s="4" t="s">
        <v>19</v>
      </c>
      <c r="B10" s="5" t="s">
        <v>18</v>
      </c>
      <c r="C10" s="5"/>
      <c r="D10" s="6" t="n">
        <v>5.25</v>
      </c>
      <c r="E10" s="7" t="n">
        <v>150</v>
      </c>
      <c r="F10" s="7" t="n">
        <v>1720</v>
      </c>
      <c r="G10" s="8" t="n">
        <f aca="false">F10/4.184</f>
        <v>411.089866156788</v>
      </c>
      <c r="H10" s="7" t="n">
        <v>6</v>
      </c>
      <c r="I10" s="9" t="n">
        <f aca="false">E10/D10</f>
        <v>28.5714285714286</v>
      </c>
      <c r="J10" s="8" t="n">
        <f aca="false">F10/D10</f>
        <v>327.619047619048</v>
      </c>
      <c r="K10" s="8" t="n">
        <f aca="false">G10/D10</f>
        <v>78.302831648912</v>
      </c>
      <c r="L10" s="10" t="n">
        <f aca="false">H10/D10</f>
        <v>1.14285714285714</v>
      </c>
    </row>
    <row r="11" customFormat="false" ht="15" hidden="false" customHeight="false" outlineLevel="0" collapsed="false">
      <c r="A11" s="4" t="s">
        <v>22</v>
      </c>
      <c r="B11" s="5" t="s">
        <v>23</v>
      </c>
      <c r="C11" s="5"/>
      <c r="D11" s="6" t="n">
        <v>4.3</v>
      </c>
      <c r="E11" s="7" t="n">
        <v>114</v>
      </c>
      <c r="F11" s="7" t="n">
        <v>1290</v>
      </c>
      <c r="G11" s="8" t="n">
        <f aca="false">F11/4.184</f>
        <v>308.317399617591</v>
      </c>
      <c r="H11" s="7" t="n">
        <v>16</v>
      </c>
      <c r="I11" s="9" t="n">
        <f aca="false">E11/D11</f>
        <v>26.5116279069767</v>
      </c>
      <c r="J11" s="8" t="n">
        <f aca="false">F11/D11</f>
        <v>300</v>
      </c>
      <c r="K11" s="8" t="n">
        <f aca="false">G11/D11</f>
        <v>71.7017208413002</v>
      </c>
      <c r="L11" s="10" t="n">
        <f aca="false">H11/D11</f>
        <v>3.72093023255814</v>
      </c>
    </row>
    <row r="12" customFormat="false" ht="15" hidden="false" customHeight="false" outlineLevel="0" collapsed="false">
      <c r="A12" s="4" t="s">
        <v>24</v>
      </c>
      <c r="B12" s="5" t="s">
        <v>18</v>
      </c>
      <c r="C12" s="5"/>
      <c r="D12" s="6" t="n">
        <v>4.55</v>
      </c>
      <c r="E12" s="7" t="n">
        <v>116</v>
      </c>
      <c r="F12" s="7" t="n">
        <v>1330</v>
      </c>
      <c r="G12" s="8" t="n">
        <f aca="false">F12/4.184</f>
        <v>317.877629063098</v>
      </c>
      <c r="H12" s="7" t="n">
        <v>5</v>
      </c>
      <c r="I12" s="9" t="n">
        <f aca="false">E12/D12</f>
        <v>25.4945054945055</v>
      </c>
      <c r="J12" s="8" t="n">
        <f aca="false">F12/D12</f>
        <v>292.307692307692</v>
      </c>
      <c r="K12" s="8" t="n">
        <f aca="false">G12/D12</f>
        <v>69.8632151787028</v>
      </c>
      <c r="L12" s="10" t="n">
        <f aca="false">H12/D12</f>
        <v>1.0989010989011</v>
      </c>
    </row>
    <row r="13" customFormat="false" ht="15" hidden="false" customHeight="false" outlineLevel="0" collapsed="false">
      <c r="A13" s="4" t="s">
        <v>28</v>
      </c>
      <c r="B13" s="5" t="s">
        <v>23</v>
      </c>
      <c r="C13" s="5"/>
      <c r="D13" s="6" t="n">
        <v>11.3</v>
      </c>
      <c r="E13" s="7" t="n">
        <v>271</v>
      </c>
      <c r="F13" s="7" t="n">
        <v>3270</v>
      </c>
      <c r="G13" s="8" t="n">
        <f aca="false">F13/4.184</f>
        <v>781.548757170172</v>
      </c>
      <c r="H13" s="7" t="n">
        <v>47</v>
      </c>
      <c r="I13" s="9" t="n">
        <f aca="false">E13/D13</f>
        <v>23.9823008849558</v>
      </c>
      <c r="J13" s="8" t="n">
        <f aca="false">F13/D13</f>
        <v>289.380530973451</v>
      </c>
      <c r="K13" s="8" t="n">
        <f aca="false">G13/D13</f>
        <v>69.1636068292188</v>
      </c>
      <c r="L13" s="10" t="n">
        <f aca="false">H13/D13</f>
        <v>4.15929203539823</v>
      </c>
    </row>
    <row r="14" customFormat="false" ht="15" hidden="false" customHeight="false" outlineLevel="0" collapsed="false">
      <c r="A14" s="4" t="s">
        <v>33</v>
      </c>
      <c r="B14" s="5" t="s">
        <v>21</v>
      </c>
      <c r="C14" s="5"/>
      <c r="D14" s="6" t="n">
        <v>4.95</v>
      </c>
      <c r="E14" s="7" t="n">
        <v>114</v>
      </c>
      <c r="F14" s="7" t="n">
        <v>1430</v>
      </c>
      <c r="G14" s="8" t="n">
        <f aca="false">F14/4.184</f>
        <v>341.778202676864</v>
      </c>
      <c r="H14" s="7" t="n">
        <v>14</v>
      </c>
      <c r="I14" s="9" t="n">
        <f aca="false">E14/D14</f>
        <v>23.030303030303</v>
      </c>
      <c r="J14" s="8" t="n">
        <f aca="false">F14/D14</f>
        <v>288.888888888889</v>
      </c>
      <c r="K14" s="8" t="n">
        <f aca="false">G14/D14</f>
        <v>69.0461015508817</v>
      </c>
      <c r="L14" s="10" t="n">
        <f aca="false">H14/D14</f>
        <v>2.82828282828283</v>
      </c>
    </row>
    <row r="15" customFormat="false" ht="15" hidden="false" customHeight="false" outlineLevel="0" collapsed="false">
      <c r="A15" s="4" t="s">
        <v>25</v>
      </c>
      <c r="B15" s="5" t="s">
        <v>23</v>
      </c>
      <c r="C15" s="5"/>
      <c r="D15" s="6" t="n">
        <v>3.95</v>
      </c>
      <c r="E15" s="7" t="n">
        <v>100</v>
      </c>
      <c r="F15" s="7" t="n">
        <v>1080</v>
      </c>
      <c r="G15" s="8" t="n">
        <f aca="false">F15/4.184</f>
        <v>258.126195028681</v>
      </c>
      <c r="H15" s="7" t="n">
        <v>13</v>
      </c>
      <c r="I15" s="9" t="n">
        <f aca="false">E15/D15</f>
        <v>25.3164556962025</v>
      </c>
      <c r="J15" s="8" t="n">
        <f aca="false">F15/D15</f>
        <v>273.417721518987</v>
      </c>
      <c r="K15" s="8" t="n">
        <f aca="false">G15/D15</f>
        <v>65.3484038047293</v>
      </c>
      <c r="L15" s="10" t="n">
        <f aca="false">H15/D15</f>
        <v>3.29113924050633</v>
      </c>
    </row>
    <row r="16" customFormat="false" ht="15" hidden="false" customHeight="false" outlineLevel="0" collapsed="false">
      <c r="A16" s="4" t="s">
        <v>32</v>
      </c>
      <c r="B16" s="5" t="s">
        <v>23</v>
      </c>
      <c r="C16" s="5"/>
      <c r="D16" s="6" t="n">
        <v>7.05</v>
      </c>
      <c r="E16" s="7" t="n">
        <v>166</v>
      </c>
      <c r="F16" s="7" t="n">
        <v>1910</v>
      </c>
      <c r="G16" s="8" t="n">
        <f aca="false">F16/4.184</f>
        <v>456.500956022945</v>
      </c>
      <c r="H16" s="7" t="n">
        <v>26</v>
      </c>
      <c r="I16" s="9" t="n">
        <f aca="false">E16/D16</f>
        <v>23.5460992907801</v>
      </c>
      <c r="J16" s="8" t="n">
        <f aca="false">F16/D16</f>
        <v>270.921985815603</v>
      </c>
      <c r="K16" s="8" t="n">
        <f aca="false">G16/D16</f>
        <v>64.7519086557368</v>
      </c>
      <c r="L16" s="10" t="n">
        <f aca="false">H16/D16</f>
        <v>3.68794326241135</v>
      </c>
    </row>
    <row r="17" customFormat="false" ht="15" hidden="false" customHeight="false" outlineLevel="0" collapsed="false">
      <c r="A17" s="4" t="s">
        <v>30</v>
      </c>
      <c r="B17" s="5" t="s">
        <v>23</v>
      </c>
      <c r="C17" s="5" t="s">
        <v>31</v>
      </c>
      <c r="D17" s="6" t="n">
        <v>6.35</v>
      </c>
      <c r="E17" s="7" t="n">
        <v>150</v>
      </c>
      <c r="F17" s="7" t="n">
        <v>1700</v>
      </c>
      <c r="G17" s="8" t="n">
        <f aca="false">F17/4.184</f>
        <v>406.309751434034</v>
      </c>
      <c r="H17" s="7" t="n">
        <v>23</v>
      </c>
      <c r="I17" s="9" t="n">
        <f aca="false">E17/D17</f>
        <v>23.6220472440945</v>
      </c>
      <c r="J17" s="8" t="n">
        <f aca="false">F17/D17</f>
        <v>267.716535433071</v>
      </c>
      <c r="K17" s="8" t="n">
        <f aca="false">G17/D17</f>
        <v>63.985787627407</v>
      </c>
      <c r="L17" s="10" t="n">
        <f aca="false">H17/D17</f>
        <v>3.62204724409449</v>
      </c>
    </row>
    <row r="18" customFormat="false" ht="15" hidden="false" customHeight="false" outlineLevel="0" collapsed="false">
      <c r="A18" s="4" t="s">
        <v>34</v>
      </c>
      <c r="B18" s="5" t="s">
        <v>27</v>
      </c>
      <c r="C18" s="5"/>
      <c r="D18" s="6" t="n">
        <v>6.3</v>
      </c>
      <c r="E18" s="7" t="n">
        <v>145</v>
      </c>
      <c r="F18" s="7" t="n">
        <v>1640</v>
      </c>
      <c r="G18" s="8" t="n">
        <f aca="false">F18/4.184</f>
        <v>391.969407265774</v>
      </c>
      <c r="H18" s="7" t="n">
        <v>16</v>
      </c>
      <c r="I18" s="9" t="n">
        <f aca="false">E18/D18</f>
        <v>23.015873015873</v>
      </c>
      <c r="J18" s="8" t="n">
        <f aca="false">F18/D18</f>
        <v>260.31746031746</v>
      </c>
      <c r="K18" s="8" t="n">
        <f aca="false">G18/D18</f>
        <v>62.2173662326626</v>
      </c>
      <c r="L18" s="10" t="n">
        <f aca="false">H18/D18</f>
        <v>2.53968253968254</v>
      </c>
    </row>
    <row r="19" customFormat="false" ht="15" hidden="false" customHeight="false" outlineLevel="0" collapsed="false">
      <c r="A19" s="4" t="s">
        <v>36</v>
      </c>
      <c r="B19" s="5" t="s">
        <v>15</v>
      </c>
      <c r="C19" s="5"/>
      <c r="D19" s="6" t="n">
        <v>4.05</v>
      </c>
      <c r="E19" s="7" t="n">
        <v>80</v>
      </c>
      <c r="F19" s="7" t="n">
        <v>1050</v>
      </c>
      <c r="G19" s="8" t="n">
        <f aca="false">F19/4.184</f>
        <v>250.956022944551</v>
      </c>
      <c r="H19" s="7" t="n">
        <v>3</v>
      </c>
      <c r="I19" s="9" t="n">
        <f aca="false">E19/D19</f>
        <v>19.7530864197531</v>
      </c>
      <c r="J19" s="8" t="n">
        <f aca="false">F19/D19</f>
        <v>259.259259259259</v>
      </c>
      <c r="K19" s="8" t="n">
        <f aca="false">G19/D19</f>
        <v>61.9644501097656</v>
      </c>
      <c r="L19" s="10" t="n">
        <f aca="false">H19/D19</f>
        <v>0.740740740740741</v>
      </c>
    </row>
    <row r="20" customFormat="false" ht="15" hidden="false" customHeight="false" outlineLevel="0" collapsed="false">
      <c r="A20" s="4" t="s">
        <v>26</v>
      </c>
      <c r="B20" s="5" t="s">
        <v>27</v>
      </c>
      <c r="C20" s="5"/>
      <c r="D20" s="6" t="n">
        <v>8.85</v>
      </c>
      <c r="E20" s="7" t="n">
        <v>213</v>
      </c>
      <c r="F20" s="7" t="n">
        <v>2280</v>
      </c>
      <c r="G20" s="8" t="n">
        <f aca="false">F20/4.184</f>
        <v>544.933078393882</v>
      </c>
      <c r="H20" s="7" t="n">
        <v>28</v>
      </c>
      <c r="I20" s="9" t="n">
        <f aca="false">E20/D20</f>
        <v>24.0677966101695</v>
      </c>
      <c r="J20" s="8" t="n">
        <f aca="false">F20/D20</f>
        <v>257.627118644068</v>
      </c>
      <c r="K20" s="8" t="n">
        <f aca="false">G20/D20</f>
        <v>61.5743591405516</v>
      </c>
      <c r="L20" s="10" t="n">
        <f aca="false">H20/D20</f>
        <v>3.1638418079096</v>
      </c>
    </row>
    <row r="21" customFormat="false" ht="15" hidden="false" customHeight="false" outlineLevel="0" collapsed="false">
      <c r="A21" s="4" t="s">
        <v>29</v>
      </c>
      <c r="B21" s="5" t="s">
        <v>21</v>
      </c>
      <c r="C21" s="5"/>
      <c r="D21" s="6" t="n">
        <v>6.5</v>
      </c>
      <c r="E21" s="7" t="n">
        <v>155</v>
      </c>
      <c r="F21" s="7" t="n">
        <v>1480</v>
      </c>
      <c r="G21" s="8" t="n">
        <f aca="false">F21/4.184</f>
        <v>353.728489483748</v>
      </c>
      <c r="H21" s="7" t="n">
        <v>19</v>
      </c>
      <c r="I21" s="9" t="n">
        <f aca="false">E21/D21</f>
        <v>23.8461538461538</v>
      </c>
      <c r="J21" s="8" t="n">
        <f aca="false">F21/D21</f>
        <v>227.692307692308</v>
      </c>
      <c r="K21" s="8" t="n">
        <f aca="false">G21/D21</f>
        <v>54.4197676128842</v>
      </c>
      <c r="L21" s="10" t="n">
        <f aca="false">H21/D21</f>
        <v>2.92307692307692</v>
      </c>
    </row>
    <row r="22" customFormat="false" ht="15" hidden="false" customHeight="false" outlineLevel="0" collapsed="false">
      <c r="A22" s="4" t="s">
        <v>37</v>
      </c>
      <c r="B22" s="5" t="s">
        <v>23</v>
      </c>
      <c r="C22" s="5"/>
      <c r="D22" s="6" t="n">
        <v>10.25</v>
      </c>
      <c r="E22" s="7" t="n">
        <v>196</v>
      </c>
      <c r="F22" s="7" t="n">
        <v>2230</v>
      </c>
      <c r="G22" s="8" t="n">
        <f aca="false">F22/4.184</f>
        <v>532.982791586998</v>
      </c>
      <c r="H22" s="7" t="n">
        <v>27</v>
      </c>
      <c r="I22" s="9" t="n">
        <f aca="false">E22/D22</f>
        <v>19.1219512195122</v>
      </c>
      <c r="J22" s="8" t="n">
        <f aca="false">F22/D22</f>
        <v>217.560975609756</v>
      </c>
      <c r="K22" s="8" t="n">
        <f aca="false">G22/D22</f>
        <v>51.9983211304388</v>
      </c>
      <c r="L22" s="10" t="n">
        <f aca="false">H22/D22</f>
        <v>2.63414634146341</v>
      </c>
    </row>
    <row r="23" customFormat="false" ht="15" hidden="false" customHeight="false" outlineLevel="0" collapsed="false">
      <c r="A23" s="4" t="s">
        <v>41</v>
      </c>
      <c r="B23" s="5" t="s">
        <v>18</v>
      </c>
      <c r="C23" s="5"/>
      <c r="D23" s="6" t="n">
        <v>2.95</v>
      </c>
      <c r="E23" s="7" t="n">
        <v>53</v>
      </c>
      <c r="F23" s="7" t="n">
        <v>610</v>
      </c>
      <c r="G23" s="8" t="n">
        <f aca="false">F23/4.184</f>
        <v>145.793499043977</v>
      </c>
      <c r="H23" s="7" t="n">
        <v>2</v>
      </c>
      <c r="I23" s="9" t="n">
        <f aca="false">E23/D23</f>
        <v>17.9661016949153</v>
      </c>
      <c r="J23" s="8" t="n">
        <f aca="false">F23/D23</f>
        <v>206.779661016949</v>
      </c>
      <c r="K23" s="8" t="n">
        <f aca="false">G23/D23</f>
        <v>49.4215250996532</v>
      </c>
      <c r="L23" s="10" t="n">
        <f aca="false">H23/D23</f>
        <v>0.677966101694915</v>
      </c>
    </row>
    <row r="24" customFormat="false" ht="15" hidden="false" customHeight="false" outlineLevel="0" collapsed="false">
      <c r="A24" s="4" t="s">
        <v>38</v>
      </c>
      <c r="B24" s="5" t="s">
        <v>27</v>
      </c>
      <c r="C24" s="5" t="s">
        <v>39</v>
      </c>
      <c r="D24" s="6" t="n">
        <v>17.9</v>
      </c>
      <c r="E24" s="7" t="n">
        <v>330</v>
      </c>
      <c r="F24" s="7" t="n">
        <v>3600</v>
      </c>
      <c r="G24" s="8" t="n">
        <f aca="false">F24/4.184</f>
        <v>860.420650095602</v>
      </c>
      <c r="H24" s="7" t="n">
        <v>53</v>
      </c>
      <c r="I24" s="9" t="n">
        <f aca="false">E24/D24</f>
        <v>18.4357541899441</v>
      </c>
      <c r="J24" s="8" t="n">
        <f aca="false">F24/D24</f>
        <v>201.117318435754</v>
      </c>
      <c r="K24" s="8" t="n">
        <f aca="false">G24/D24</f>
        <v>48.0681927427711</v>
      </c>
      <c r="L24" s="10" t="n">
        <f aca="false">H24/D24</f>
        <v>2.9608938547486</v>
      </c>
    </row>
    <row r="25" customFormat="false" ht="15" hidden="false" customHeight="false" outlineLevel="0" collapsed="false">
      <c r="A25" s="4" t="s">
        <v>35</v>
      </c>
      <c r="B25" s="5" t="s">
        <v>23</v>
      </c>
      <c r="C25" s="5"/>
      <c r="D25" s="6" t="n">
        <v>10.45</v>
      </c>
      <c r="E25" s="7" t="n">
        <v>215</v>
      </c>
      <c r="F25" s="7" t="n">
        <v>2050</v>
      </c>
      <c r="G25" s="8" t="n">
        <f aca="false">F25/4.184</f>
        <v>489.961759082218</v>
      </c>
      <c r="H25" s="7" t="n">
        <v>25</v>
      </c>
      <c r="I25" s="9" t="n">
        <f aca="false">E25/D25</f>
        <v>20.5741626794258</v>
      </c>
      <c r="J25" s="8" t="n">
        <f aca="false">F25/D25</f>
        <v>196.172248803828</v>
      </c>
      <c r="K25" s="8" t="n">
        <f aca="false">G25/D25</f>
        <v>46.8862927351405</v>
      </c>
      <c r="L25" s="10" t="n">
        <f aca="false">H25/D25</f>
        <v>2.39234449760766</v>
      </c>
    </row>
    <row r="26" customFormat="false" ht="15" hidden="false" customHeight="false" outlineLevel="0" collapsed="false">
      <c r="A26" s="4" t="s">
        <v>42</v>
      </c>
      <c r="B26" s="5" t="s">
        <v>23</v>
      </c>
      <c r="C26" s="5"/>
      <c r="D26" s="6" t="n">
        <v>9.1</v>
      </c>
      <c r="E26" s="7" t="n">
        <v>132</v>
      </c>
      <c r="F26" s="7" t="n">
        <v>1490</v>
      </c>
      <c r="G26" s="8" t="n">
        <f aca="false">F26/4.184</f>
        <v>356.118546845124</v>
      </c>
      <c r="H26" s="7" t="n">
        <v>15</v>
      </c>
      <c r="I26" s="9" t="n">
        <f aca="false">E26/D26</f>
        <v>14.5054945054945</v>
      </c>
      <c r="J26" s="8" t="n">
        <f aca="false">F26/D26</f>
        <v>163.736263736264</v>
      </c>
      <c r="K26" s="8" t="n">
        <f aca="false">G26/D26</f>
        <v>39.133906246717</v>
      </c>
      <c r="L26" s="10" t="n">
        <f aca="false">H26/D26</f>
        <v>1.64835164835165</v>
      </c>
    </row>
    <row r="27" customFormat="false" ht="15" hidden="false" customHeight="false" outlineLevel="0" collapsed="false">
      <c r="A27" s="4" t="s">
        <v>43</v>
      </c>
      <c r="B27" s="5" t="s">
        <v>27</v>
      </c>
      <c r="C27" s="5"/>
      <c r="D27" s="6" t="n">
        <v>11.9</v>
      </c>
      <c r="E27" s="7" t="n">
        <v>165</v>
      </c>
      <c r="F27" s="7" t="n">
        <v>1800</v>
      </c>
      <c r="G27" s="8" t="n">
        <f aca="false">F27/4.184</f>
        <v>430.210325047801</v>
      </c>
      <c r="H27" s="7" t="n">
        <v>27</v>
      </c>
      <c r="I27" s="9" t="n">
        <f aca="false">E27/D27</f>
        <v>13.8655462184874</v>
      </c>
      <c r="J27" s="8" t="n">
        <f aca="false">F27/D27</f>
        <v>151.260504201681</v>
      </c>
      <c r="K27" s="8" t="n">
        <f aca="false">G27/D27</f>
        <v>36.1521281552774</v>
      </c>
      <c r="L27" s="10" t="n">
        <f aca="false">H27/D27</f>
        <v>2.26890756302521</v>
      </c>
    </row>
    <row r="28" customFormat="false" ht="15" hidden="false" customHeight="false" outlineLevel="0" collapsed="false">
      <c r="A28" s="4" t="s">
        <v>44</v>
      </c>
      <c r="B28" s="5" t="s">
        <v>27</v>
      </c>
      <c r="C28" s="5"/>
      <c r="D28" s="6" t="n">
        <v>7.6</v>
      </c>
      <c r="E28" s="7" t="n">
        <v>100</v>
      </c>
      <c r="F28" s="7" t="n">
        <v>1080</v>
      </c>
      <c r="G28" s="8" t="n">
        <f aca="false">F28/4.184</f>
        <v>258.126195028681</v>
      </c>
      <c r="H28" s="7" t="n">
        <v>16</v>
      </c>
      <c r="I28" s="9" t="n">
        <f aca="false">E28/D28</f>
        <v>13.1578947368421</v>
      </c>
      <c r="J28" s="8" t="n">
        <f aca="false">F28/D28</f>
        <v>142.105263157895</v>
      </c>
      <c r="K28" s="8" t="n">
        <f aca="false">G28/D28</f>
        <v>33.9639730300896</v>
      </c>
      <c r="L28" s="10" t="n">
        <f aca="false">H28/D28</f>
        <v>2.10526315789474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28</v>
      </c>
      <c r="B5" s="5" t="s">
        <v>23</v>
      </c>
      <c r="C5" s="5"/>
      <c r="D5" s="6" t="n">
        <v>11.3</v>
      </c>
      <c r="E5" s="7" t="n">
        <v>271</v>
      </c>
      <c r="F5" s="7" t="n">
        <v>3270</v>
      </c>
      <c r="G5" s="8" t="n">
        <f aca="false">F5/4.184</f>
        <v>781.548757170172</v>
      </c>
      <c r="H5" s="7" t="n">
        <v>47</v>
      </c>
      <c r="I5" s="9" t="n">
        <f aca="false">E5/D5</f>
        <v>23.9823008849558</v>
      </c>
      <c r="J5" s="8" t="n">
        <f aca="false">F5/D5</f>
        <v>289.380530973451</v>
      </c>
      <c r="K5" s="8" t="n">
        <f aca="false">G5/D5</f>
        <v>69.1636068292188</v>
      </c>
      <c r="L5" s="10" t="n">
        <f aca="false">H5/D5</f>
        <v>4.15929203539823</v>
      </c>
    </row>
    <row r="6" customFormat="false" ht="15" hidden="false" customHeight="false" outlineLevel="0" collapsed="false">
      <c r="A6" s="4" t="s">
        <v>22</v>
      </c>
      <c r="B6" s="5" t="s">
        <v>23</v>
      </c>
      <c r="C6" s="5"/>
      <c r="D6" s="6" t="n">
        <v>4.3</v>
      </c>
      <c r="E6" s="7" t="n">
        <v>114</v>
      </c>
      <c r="F6" s="7" t="n">
        <v>1290</v>
      </c>
      <c r="G6" s="8" t="n">
        <f aca="false">F6/4.184</f>
        <v>308.317399617591</v>
      </c>
      <c r="H6" s="7" t="n">
        <v>16</v>
      </c>
      <c r="I6" s="9" t="n">
        <f aca="false">E6/D6</f>
        <v>26.5116279069767</v>
      </c>
      <c r="J6" s="8" t="n">
        <f aca="false">F6/D6</f>
        <v>300</v>
      </c>
      <c r="K6" s="8" t="n">
        <f aca="false">G6/D6</f>
        <v>71.7017208413002</v>
      </c>
      <c r="L6" s="10" t="n">
        <f aca="false">H6/D6</f>
        <v>3.72093023255814</v>
      </c>
    </row>
    <row r="7" customFormat="false" ht="15" hidden="false" customHeight="false" outlineLevel="0" collapsed="false">
      <c r="A7" s="4" t="s">
        <v>32</v>
      </c>
      <c r="B7" s="5" t="s">
        <v>23</v>
      </c>
      <c r="C7" s="5"/>
      <c r="D7" s="6" t="n">
        <v>7.05</v>
      </c>
      <c r="E7" s="7" t="n">
        <v>166</v>
      </c>
      <c r="F7" s="7" t="n">
        <v>1910</v>
      </c>
      <c r="G7" s="8" t="n">
        <f aca="false">F7/4.184</f>
        <v>456.500956022945</v>
      </c>
      <c r="H7" s="7" t="n">
        <v>26</v>
      </c>
      <c r="I7" s="9" t="n">
        <f aca="false">E7/D7</f>
        <v>23.5460992907801</v>
      </c>
      <c r="J7" s="8" t="n">
        <f aca="false">F7/D7</f>
        <v>270.921985815603</v>
      </c>
      <c r="K7" s="8" t="n">
        <f aca="false">G7/D7</f>
        <v>64.7519086557368</v>
      </c>
      <c r="L7" s="10" t="n">
        <f aca="false">H7/D7</f>
        <v>3.68794326241135</v>
      </c>
    </row>
    <row r="8" customFormat="false" ht="15" hidden="false" customHeight="false" outlineLevel="0" collapsed="false">
      <c r="A8" s="4" t="s">
        <v>30</v>
      </c>
      <c r="B8" s="5" t="s">
        <v>23</v>
      </c>
      <c r="C8" s="5" t="s">
        <v>31</v>
      </c>
      <c r="D8" s="6" t="n">
        <v>6.35</v>
      </c>
      <c r="E8" s="7" t="n">
        <v>150</v>
      </c>
      <c r="F8" s="7" t="n">
        <v>1700</v>
      </c>
      <c r="G8" s="8" t="n">
        <f aca="false">F8/4.184</f>
        <v>406.309751434034</v>
      </c>
      <c r="H8" s="7" t="n">
        <v>23</v>
      </c>
      <c r="I8" s="9" t="n">
        <f aca="false">E8/D8</f>
        <v>23.6220472440945</v>
      </c>
      <c r="J8" s="8" t="n">
        <f aca="false">F8/D8</f>
        <v>267.716535433071</v>
      </c>
      <c r="K8" s="8" t="n">
        <f aca="false">G8/D8</f>
        <v>63.985787627407</v>
      </c>
      <c r="L8" s="10" t="n">
        <f aca="false">H8/D8</f>
        <v>3.62204724409449</v>
      </c>
    </row>
    <row r="9" customFormat="false" ht="15" hidden="false" customHeight="false" outlineLevel="0" collapsed="false">
      <c r="A9" s="4" t="s">
        <v>25</v>
      </c>
      <c r="B9" s="5" t="s">
        <v>23</v>
      </c>
      <c r="C9" s="5"/>
      <c r="D9" s="6" t="n">
        <v>3.95</v>
      </c>
      <c r="E9" s="7" t="n">
        <v>100</v>
      </c>
      <c r="F9" s="7" t="n">
        <v>1080</v>
      </c>
      <c r="G9" s="8" t="n">
        <f aca="false">F9/4.184</f>
        <v>258.126195028681</v>
      </c>
      <c r="H9" s="7" t="n">
        <v>13</v>
      </c>
      <c r="I9" s="9" t="n">
        <f aca="false">E9/D9</f>
        <v>25.3164556962025</v>
      </c>
      <c r="J9" s="8" t="n">
        <f aca="false">F9/D9</f>
        <v>273.417721518987</v>
      </c>
      <c r="K9" s="8" t="n">
        <f aca="false">G9/D9</f>
        <v>65.3484038047293</v>
      </c>
      <c r="L9" s="10" t="n">
        <f aca="false">H9/D9</f>
        <v>3.29113924050633</v>
      </c>
    </row>
    <row r="10" customFormat="false" ht="15" hidden="false" customHeight="false" outlineLevel="0" collapsed="false">
      <c r="A10" s="4" t="s">
        <v>26</v>
      </c>
      <c r="B10" s="5" t="s">
        <v>27</v>
      </c>
      <c r="C10" s="5"/>
      <c r="D10" s="6" t="n">
        <v>8.85</v>
      </c>
      <c r="E10" s="7" t="n">
        <v>213</v>
      </c>
      <c r="F10" s="7" t="n">
        <v>2280</v>
      </c>
      <c r="G10" s="8" t="n">
        <f aca="false">F10/4.184</f>
        <v>544.933078393882</v>
      </c>
      <c r="H10" s="7" t="n">
        <v>28</v>
      </c>
      <c r="I10" s="9" t="n">
        <f aca="false">E10/D10</f>
        <v>24.0677966101695</v>
      </c>
      <c r="J10" s="8" t="n">
        <f aca="false">F10/D10</f>
        <v>257.627118644068</v>
      </c>
      <c r="K10" s="8" t="n">
        <f aca="false">G10/D10</f>
        <v>61.5743591405516</v>
      </c>
      <c r="L10" s="10" t="n">
        <f aca="false">H10/D10</f>
        <v>3.1638418079096</v>
      </c>
    </row>
    <row r="11" customFormat="false" ht="15" hidden="false" customHeight="false" outlineLevel="0" collapsed="false">
      <c r="A11" s="4" t="s">
        <v>38</v>
      </c>
      <c r="B11" s="5" t="s">
        <v>27</v>
      </c>
      <c r="C11" s="5" t="s">
        <v>39</v>
      </c>
      <c r="D11" s="6" t="n">
        <v>17.9</v>
      </c>
      <c r="E11" s="7" t="n">
        <v>330</v>
      </c>
      <c r="F11" s="7" t="n">
        <v>3600</v>
      </c>
      <c r="G11" s="8" t="n">
        <f aca="false">F11/4.184</f>
        <v>860.420650095602</v>
      </c>
      <c r="H11" s="7" t="n">
        <v>53</v>
      </c>
      <c r="I11" s="9" t="n">
        <f aca="false">E11/D11</f>
        <v>18.4357541899441</v>
      </c>
      <c r="J11" s="8" t="n">
        <f aca="false">F11/D11</f>
        <v>201.117318435754</v>
      </c>
      <c r="K11" s="8" t="n">
        <f aca="false">G11/D11</f>
        <v>48.0681927427711</v>
      </c>
      <c r="L11" s="10" t="n">
        <f aca="false">H11/D11</f>
        <v>2.9608938547486</v>
      </c>
    </row>
    <row r="12" customFormat="false" ht="15" hidden="false" customHeight="false" outlineLevel="0" collapsed="false">
      <c r="A12" s="4" t="s">
        <v>29</v>
      </c>
      <c r="B12" s="5" t="s">
        <v>21</v>
      </c>
      <c r="C12" s="5"/>
      <c r="D12" s="6" t="n">
        <v>6.5</v>
      </c>
      <c r="E12" s="7" t="n">
        <v>155</v>
      </c>
      <c r="F12" s="7" t="n">
        <v>1480</v>
      </c>
      <c r="G12" s="8" t="n">
        <f aca="false">F12/4.184</f>
        <v>353.728489483748</v>
      </c>
      <c r="H12" s="7" t="n">
        <v>19</v>
      </c>
      <c r="I12" s="9" t="n">
        <f aca="false">E12/D12</f>
        <v>23.8461538461538</v>
      </c>
      <c r="J12" s="8" t="n">
        <f aca="false">F12/D12</f>
        <v>227.692307692308</v>
      </c>
      <c r="K12" s="8" t="n">
        <f aca="false">G12/D12</f>
        <v>54.4197676128842</v>
      </c>
      <c r="L12" s="10" t="n">
        <f aca="false">H12/D12</f>
        <v>2.92307692307692</v>
      </c>
    </row>
    <row r="13" customFormat="false" ht="15" hidden="false" customHeight="false" outlineLevel="0" collapsed="false">
      <c r="A13" s="4" t="s">
        <v>33</v>
      </c>
      <c r="B13" s="5" t="s">
        <v>21</v>
      </c>
      <c r="C13" s="5"/>
      <c r="D13" s="6" t="n">
        <v>4.95</v>
      </c>
      <c r="E13" s="7" t="n">
        <v>114</v>
      </c>
      <c r="F13" s="7" t="n">
        <v>1430</v>
      </c>
      <c r="G13" s="8" t="n">
        <f aca="false">F13/4.184</f>
        <v>341.778202676864</v>
      </c>
      <c r="H13" s="7" t="n">
        <v>14</v>
      </c>
      <c r="I13" s="9" t="n">
        <f aca="false">E13/D13</f>
        <v>23.030303030303</v>
      </c>
      <c r="J13" s="8" t="n">
        <f aca="false">F13/D13</f>
        <v>288.888888888889</v>
      </c>
      <c r="K13" s="8" t="n">
        <f aca="false">G13/D13</f>
        <v>69.0461015508817</v>
      </c>
      <c r="L13" s="10" t="n">
        <f aca="false">H13/D13</f>
        <v>2.82828282828283</v>
      </c>
    </row>
    <row r="14" customFormat="false" ht="15" hidden="false" customHeight="false" outlineLevel="0" collapsed="false">
      <c r="A14" s="4" t="s">
        <v>14</v>
      </c>
      <c r="B14" s="5" t="s">
        <v>15</v>
      </c>
      <c r="C14" s="5"/>
      <c r="D14" s="6" t="n">
        <v>1.5</v>
      </c>
      <c r="E14" s="7" t="n">
        <v>90</v>
      </c>
      <c r="F14" s="7" t="n">
        <v>770</v>
      </c>
      <c r="G14" s="8" t="n">
        <f aca="false">F14/4.184</f>
        <v>184.034416826004</v>
      </c>
      <c r="H14" s="7" t="n">
        <v>4</v>
      </c>
      <c r="I14" s="9" t="n">
        <f aca="false">E14/D14</f>
        <v>60</v>
      </c>
      <c r="J14" s="8" t="n">
        <f aca="false">F14/D14</f>
        <v>513.333333333333</v>
      </c>
      <c r="K14" s="8" t="n">
        <f aca="false">G14/D14</f>
        <v>122.689611217336</v>
      </c>
      <c r="L14" s="10" t="n">
        <f aca="false">H14/D14</f>
        <v>2.66666666666667</v>
      </c>
    </row>
    <row r="15" customFormat="false" ht="15" hidden="false" customHeight="false" outlineLevel="0" collapsed="false">
      <c r="A15" s="4" t="s">
        <v>37</v>
      </c>
      <c r="B15" s="5" t="s">
        <v>23</v>
      </c>
      <c r="C15" s="5"/>
      <c r="D15" s="6" t="n">
        <v>10.25</v>
      </c>
      <c r="E15" s="7" t="n">
        <v>196</v>
      </c>
      <c r="F15" s="7" t="n">
        <v>2230</v>
      </c>
      <c r="G15" s="8" t="n">
        <f aca="false">F15/4.184</f>
        <v>532.982791586998</v>
      </c>
      <c r="H15" s="7" t="n">
        <v>27</v>
      </c>
      <c r="I15" s="9" t="n">
        <f aca="false">E15/D15</f>
        <v>19.1219512195122</v>
      </c>
      <c r="J15" s="8" t="n">
        <f aca="false">F15/D15</f>
        <v>217.560975609756</v>
      </c>
      <c r="K15" s="8" t="n">
        <f aca="false">G15/D15</f>
        <v>51.9983211304388</v>
      </c>
      <c r="L15" s="10" t="n">
        <f aca="false">H15/D15</f>
        <v>2.63414634146341</v>
      </c>
    </row>
    <row r="16" customFormat="false" ht="15" hidden="false" customHeight="false" outlineLevel="0" collapsed="false">
      <c r="A16" s="4" t="s">
        <v>20</v>
      </c>
      <c r="B16" s="5" t="s">
        <v>21</v>
      </c>
      <c r="C16" s="5"/>
      <c r="D16" s="6" t="n">
        <v>10.6</v>
      </c>
      <c r="E16" s="7" t="n">
        <v>290</v>
      </c>
      <c r="F16" s="7" t="n">
        <v>4280</v>
      </c>
      <c r="G16" s="8" t="n">
        <f aca="false">F16/4.184</f>
        <v>1022.94455066922</v>
      </c>
      <c r="H16" s="7" t="n">
        <v>27</v>
      </c>
      <c r="I16" s="9" t="n">
        <f aca="false">E16/D16</f>
        <v>27.3584905660377</v>
      </c>
      <c r="J16" s="8" t="n">
        <f aca="false">F16/D16</f>
        <v>403.77358490566</v>
      </c>
      <c r="K16" s="8" t="n">
        <f aca="false">G16/D16</f>
        <v>96.5042028933223</v>
      </c>
      <c r="L16" s="10" t="n">
        <f aca="false">H16/D16</f>
        <v>2.54716981132076</v>
      </c>
    </row>
    <row r="17" customFormat="false" ht="15" hidden="false" customHeight="false" outlineLevel="0" collapsed="false">
      <c r="A17" s="4" t="s">
        <v>34</v>
      </c>
      <c r="B17" s="5" t="s">
        <v>27</v>
      </c>
      <c r="C17" s="5"/>
      <c r="D17" s="6" t="n">
        <v>6.3</v>
      </c>
      <c r="E17" s="7" t="n">
        <v>145</v>
      </c>
      <c r="F17" s="7" t="n">
        <v>1640</v>
      </c>
      <c r="G17" s="8" t="n">
        <f aca="false">F17/4.184</f>
        <v>391.969407265774</v>
      </c>
      <c r="H17" s="7" t="n">
        <v>16</v>
      </c>
      <c r="I17" s="9" t="n">
        <f aca="false">E17/D17</f>
        <v>23.015873015873</v>
      </c>
      <c r="J17" s="8" t="n">
        <f aca="false">F17/D17</f>
        <v>260.31746031746</v>
      </c>
      <c r="K17" s="8" t="n">
        <f aca="false">G17/D17</f>
        <v>62.2173662326626</v>
      </c>
      <c r="L17" s="10" t="n">
        <f aca="false">H17/D17</f>
        <v>2.53968253968254</v>
      </c>
    </row>
    <row r="18" customFormat="false" ht="15" hidden="false" customHeight="false" outlineLevel="0" collapsed="false">
      <c r="A18" s="4" t="s">
        <v>35</v>
      </c>
      <c r="B18" s="5" t="s">
        <v>23</v>
      </c>
      <c r="C18" s="5"/>
      <c r="D18" s="6" t="n">
        <v>10.45</v>
      </c>
      <c r="E18" s="7" t="n">
        <v>215</v>
      </c>
      <c r="F18" s="7" t="n">
        <v>2050</v>
      </c>
      <c r="G18" s="8" t="n">
        <f aca="false">F18/4.184</f>
        <v>489.961759082218</v>
      </c>
      <c r="H18" s="7" t="n">
        <v>25</v>
      </c>
      <c r="I18" s="9" t="n">
        <f aca="false">E18/D18</f>
        <v>20.5741626794258</v>
      </c>
      <c r="J18" s="8" t="n">
        <f aca="false">F18/D18</f>
        <v>196.172248803828</v>
      </c>
      <c r="K18" s="8" t="n">
        <f aca="false">G18/D18</f>
        <v>46.8862927351405</v>
      </c>
      <c r="L18" s="10" t="n">
        <f aca="false">H18/D18</f>
        <v>2.39234449760766</v>
      </c>
    </row>
    <row r="19" customFormat="false" ht="15" hidden="false" customHeight="false" outlineLevel="0" collapsed="false">
      <c r="A19" s="4" t="s">
        <v>43</v>
      </c>
      <c r="B19" s="5" t="s">
        <v>27</v>
      </c>
      <c r="C19" s="5"/>
      <c r="D19" s="6" t="n">
        <v>11.9</v>
      </c>
      <c r="E19" s="7" t="n">
        <v>165</v>
      </c>
      <c r="F19" s="7" t="n">
        <v>1800</v>
      </c>
      <c r="G19" s="8" t="n">
        <f aca="false">F19/4.184</f>
        <v>430.210325047801</v>
      </c>
      <c r="H19" s="7" t="n">
        <v>27</v>
      </c>
      <c r="I19" s="9" t="n">
        <f aca="false">E19/D19</f>
        <v>13.8655462184874</v>
      </c>
      <c r="J19" s="8" t="n">
        <f aca="false">F19/D19</f>
        <v>151.260504201681</v>
      </c>
      <c r="K19" s="8" t="n">
        <f aca="false">G19/D19</f>
        <v>36.1521281552774</v>
      </c>
      <c r="L19" s="10" t="n">
        <f aca="false">H19/D19</f>
        <v>2.26890756302521</v>
      </c>
    </row>
    <row r="20" customFormat="false" ht="15" hidden="false" customHeight="false" outlineLevel="0" collapsed="false">
      <c r="A20" s="4" t="s">
        <v>44</v>
      </c>
      <c r="B20" s="5" t="s">
        <v>27</v>
      </c>
      <c r="C20" s="5"/>
      <c r="D20" s="6" t="n">
        <v>7.6</v>
      </c>
      <c r="E20" s="7" t="n">
        <v>100</v>
      </c>
      <c r="F20" s="7" t="n">
        <v>1080</v>
      </c>
      <c r="G20" s="8" t="n">
        <f aca="false">F20/4.184</f>
        <v>258.126195028681</v>
      </c>
      <c r="H20" s="7" t="n">
        <v>16</v>
      </c>
      <c r="I20" s="9" t="n">
        <f aca="false">E20/D20</f>
        <v>13.1578947368421</v>
      </c>
      <c r="J20" s="8" t="n">
        <f aca="false">F20/D20</f>
        <v>142.105263157895</v>
      </c>
      <c r="K20" s="8" t="n">
        <f aca="false">G20/D20</f>
        <v>33.9639730300896</v>
      </c>
      <c r="L20" s="10" t="n">
        <f aca="false">H20/D20</f>
        <v>2.10526315789474</v>
      </c>
    </row>
    <row r="21" customFormat="false" ht="15" hidden="false" customHeight="false" outlineLevel="0" collapsed="false">
      <c r="A21" s="4" t="s">
        <v>42</v>
      </c>
      <c r="B21" s="5" t="s">
        <v>23</v>
      </c>
      <c r="C21" s="5"/>
      <c r="D21" s="6" t="n">
        <v>9.1</v>
      </c>
      <c r="E21" s="7" t="n">
        <v>132</v>
      </c>
      <c r="F21" s="7" t="n">
        <v>1490</v>
      </c>
      <c r="G21" s="8" t="n">
        <f aca="false">F21/4.184</f>
        <v>356.118546845124</v>
      </c>
      <c r="H21" s="7" t="n">
        <v>15</v>
      </c>
      <c r="I21" s="9" t="n">
        <f aca="false">E21/D21</f>
        <v>14.5054945054945</v>
      </c>
      <c r="J21" s="8" t="n">
        <f aca="false">F21/D21</f>
        <v>163.736263736264</v>
      </c>
      <c r="K21" s="8" t="n">
        <f aca="false">G21/D21</f>
        <v>39.133906246717</v>
      </c>
      <c r="L21" s="10" t="n">
        <f aca="false">H21/D21</f>
        <v>1.64835164835165</v>
      </c>
    </row>
    <row r="22" customFormat="false" ht="15" hidden="false" customHeight="false" outlineLevel="0" collapsed="false">
      <c r="A22" s="4" t="s">
        <v>16</v>
      </c>
      <c r="B22" s="5" t="s">
        <v>15</v>
      </c>
      <c r="C22" s="5"/>
      <c r="D22" s="6" t="n">
        <v>4.2</v>
      </c>
      <c r="E22" s="7" t="n">
        <v>179</v>
      </c>
      <c r="F22" s="7" t="n">
        <v>1390</v>
      </c>
      <c r="G22" s="8" t="n">
        <f aca="false">F22/4.184</f>
        <v>332.217973231358</v>
      </c>
      <c r="H22" s="7" t="n">
        <v>6</v>
      </c>
      <c r="I22" s="9" t="n">
        <f aca="false">E22/D22</f>
        <v>42.6190476190476</v>
      </c>
      <c r="J22" s="8" t="n">
        <f aca="false">F22/D22</f>
        <v>330.952380952381</v>
      </c>
      <c r="K22" s="8" t="n">
        <f aca="false">G22/D22</f>
        <v>79.0995174360375</v>
      </c>
      <c r="L22" s="10" t="n">
        <f aca="false">H22/D22</f>
        <v>1.42857142857143</v>
      </c>
    </row>
    <row r="23" customFormat="false" ht="15" hidden="false" customHeight="false" outlineLevel="0" collapsed="false">
      <c r="A23" s="4" t="s">
        <v>17</v>
      </c>
      <c r="B23" s="5" t="s">
        <v>18</v>
      </c>
      <c r="C23" s="5"/>
      <c r="D23" s="6" t="n">
        <v>5.95</v>
      </c>
      <c r="E23" s="7" t="n">
        <v>200</v>
      </c>
      <c r="F23" s="7" t="n">
        <v>2290</v>
      </c>
      <c r="G23" s="8" t="n">
        <f aca="false">F23/4.184</f>
        <v>547.323135755258</v>
      </c>
      <c r="H23" s="7" t="n">
        <v>8</v>
      </c>
      <c r="I23" s="9" t="n">
        <f aca="false">E23/D23</f>
        <v>33.6134453781513</v>
      </c>
      <c r="J23" s="8" t="n">
        <f aca="false">F23/D23</f>
        <v>384.873949579832</v>
      </c>
      <c r="K23" s="8" t="n">
        <f aca="false">G23/D23</f>
        <v>91.9870816395392</v>
      </c>
      <c r="L23" s="10" t="n">
        <f aca="false">H23/D23</f>
        <v>1.34453781512605</v>
      </c>
    </row>
    <row r="24" customFormat="false" ht="15" hidden="false" customHeight="false" outlineLevel="0" collapsed="false">
      <c r="A24" s="4" t="s">
        <v>19</v>
      </c>
      <c r="B24" s="5" t="s">
        <v>18</v>
      </c>
      <c r="C24" s="5"/>
      <c r="D24" s="6" t="n">
        <v>5.25</v>
      </c>
      <c r="E24" s="7" t="n">
        <v>150</v>
      </c>
      <c r="F24" s="7" t="n">
        <v>1720</v>
      </c>
      <c r="G24" s="8" t="n">
        <f aca="false">F24/4.184</f>
        <v>411.089866156788</v>
      </c>
      <c r="H24" s="7" t="n">
        <v>6</v>
      </c>
      <c r="I24" s="9" t="n">
        <f aca="false">E24/D24</f>
        <v>28.5714285714286</v>
      </c>
      <c r="J24" s="8" t="n">
        <f aca="false">F24/D24</f>
        <v>327.619047619048</v>
      </c>
      <c r="K24" s="8" t="n">
        <f aca="false">G24/D24</f>
        <v>78.302831648912</v>
      </c>
      <c r="L24" s="10" t="n">
        <f aca="false">H24/D24</f>
        <v>1.14285714285714</v>
      </c>
    </row>
    <row r="25" customFormat="false" ht="15" hidden="false" customHeight="false" outlineLevel="0" collapsed="false">
      <c r="A25" s="4" t="s">
        <v>40</v>
      </c>
      <c r="B25" s="5" t="s">
        <v>15</v>
      </c>
      <c r="C25" s="5"/>
      <c r="D25" s="6" t="n">
        <v>1.8</v>
      </c>
      <c r="E25" s="7" t="n">
        <v>33</v>
      </c>
      <c r="F25" s="7" t="n">
        <v>690</v>
      </c>
      <c r="G25" s="8" t="n">
        <f aca="false">F25/4.184</f>
        <v>164.91395793499</v>
      </c>
      <c r="H25" s="7" t="n">
        <v>2</v>
      </c>
      <c r="I25" s="9" t="n">
        <f aca="false">E25/D25</f>
        <v>18.3333333333333</v>
      </c>
      <c r="J25" s="8" t="n">
        <f aca="false">F25/D25</f>
        <v>383.333333333333</v>
      </c>
      <c r="K25" s="8" t="n">
        <f aca="false">G25/D25</f>
        <v>91.6188655194391</v>
      </c>
      <c r="L25" s="10" t="n">
        <f aca="false">H25/D25</f>
        <v>1.11111111111111</v>
      </c>
    </row>
    <row r="26" customFormat="false" ht="15" hidden="false" customHeight="false" outlineLevel="0" collapsed="false">
      <c r="A26" s="4" t="s">
        <v>24</v>
      </c>
      <c r="B26" s="5" t="s">
        <v>18</v>
      </c>
      <c r="C26" s="5"/>
      <c r="D26" s="6" t="n">
        <v>4.55</v>
      </c>
      <c r="E26" s="7" t="n">
        <v>116</v>
      </c>
      <c r="F26" s="7" t="n">
        <v>1330</v>
      </c>
      <c r="G26" s="8" t="n">
        <f aca="false">F26/4.184</f>
        <v>317.877629063098</v>
      </c>
      <c r="H26" s="7" t="n">
        <v>5</v>
      </c>
      <c r="I26" s="9" t="n">
        <f aca="false">E26/D26</f>
        <v>25.4945054945055</v>
      </c>
      <c r="J26" s="8" t="n">
        <f aca="false">F26/D26</f>
        <v>292.307692307692</v>
      </c>
      <c r="K26" s="8" t="n">
        <f aca="false">G26/D26</f>
        <v>69.8632151787028</v>
      </c>
      <c r="L26" s="10" t="n">
        <f aca="false">H26/D26</f>
        <v>1.0989010989011</v>
      </c>
    </row>
    <row r="27" customFormat="false" ht="15" hidden="false" customHeight="false" outlineLevel="0" collapsed="false">
      <c r="A27" s="4" t="s">
        <v>36</v>
      </c>
      <c r="B27" s="5" t="s">
        <v>15</v>
      </c>
      <c r="C27" s="5"/>
      <c r="D27" s="6" t="n">
        <v>4.05</v>
      </c>
      <c r="E27" s="7" t="n">
        <v>80</v>
      </c>
      <c r="F27" s="7" t="n">
        <v>1050</v>
      </c>
      <c r="G27" s="8" t="n">
        <f aca="false">F27/4.184</f>
        <v>250.956022944551</v>
      </c>
      <c r="H27" s="7" t="n">
        <v>3</v>
      </c>
      <c r="I27" s="9" t="n">
        <f aca="false">E27/D27</f>
        <v>19.7530864197531</v>
      </c>
      <c r="J27" s="8" t="n">
        <f aca="false">F27/D27</f>
        <v>259.259259259259</v>
      </c>
      <c r="K27" s="8" t="n">
        <f aca="false">G27/D27</f>
        <v>61.9644501097656</v>
      </c>
      <c r="L27" s="10" t="n">
        <f aca="false">H27/D27</f>
        <v>0.740740740740741</v>
      </c>
    </row>
    <row r="28" customFormat="false" ht="15" hidden="false" customHeight="false" outlineLevel="0" collapsed="false">
      <c r="A28" s="4" t="s">
        <v>41</v>
      </c>
      <c r="B28" s="5" t="s">
        <v>18</v>
      </c>
      <c r="C28" s="5"/>
      <c r="D28" s="6" t="n">
        <v>2.95</v>
      </c>
      <c r="E28" s="7" t="n">
        <v>53</v>
      </c>
      <c r="F28" s="7" t="n">
        <v>610</v>
      </c>
      <c r="G28" s="8" t="n">
        <f aca="false">F28/4.184</f>
        <v>145.793499043977</v>
      </c>
      <c r="H28" s="7" t="n">
        <v>2</v>
      </c>
      <c r="I28" s="9" t="n">
        <f aca="false">E28/D28</f>
        <v>17.9661016949153</v>
      </c>
      <c r="J28" s="8" t="n">
        <f aca="false">F28/D28</f>
        <v>206.779661016949</v>
      </c>
      <c r="K28" s="8" t="n">
        <f aca="false">G28/D28</f>
        <v>49.4215250996532</v>
      </c>
      <c r="L28" s="10" t="n">
        <f aca="false">H28/D28</f>
        <v>0.677966101694915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29</v>
      </c>
      <c r="B5" s="5" t="s">
        <v>21</v>
      </c>
      <c r="C5" s="5"/>
      <c r="D5" s="6" t="n">
        <v>6.5</v>
      </c>
      <c r="E5" s="7" t="n">
        <v>155</v>
      </c>
      <c r="F5" s="7" t="n">
        <v>1480</v>
      </c>
      <c r="G5" s="8" t="n">
        <f aca="false">F5/4.184</f>
        <v>353.728489483748</v>
      </c>
      <c r="H5" s="7" t="n">
        <v>19</v>
      </c>
      <c r="I5" s="9" t="n">
        <f aca="false">E5/D5</f>
        <v>23.8461538461538</v>
      </c>
      <c r="J5" s="8" t="n">
        <f aca="false">F5/D5</f>
        <v>227.692307692308</v>
      </c>
      <c r="K5" s="8" t="n">
        <f aca="false">G5/D5</f>
        <v>54.4197676128842</v>
      </c>
      <c r="L5" s="10" t="n">
        <f aca="false">H5/D5</f>
        <v>2.92307692307692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/>
      <c r="D6" s="6" t="n">
        <v>10.6</v>
      </c>
      <c r="E6" s="7" t="n">
        <v>290</v>
      </c>
      <c r="F6" s="7" t="n">
        <v>4280</v>
      </c>
      <c r="G6" s="8" t="n">
        <f aca="false">F6/4.184</f>
        <v>1022.94455066922</v>
      </c>
      <c r="H6" s="7" t="n">
        <v>27</v>
      </c>
      <c r="I6" s="9" t="n">
        <f aca="false">E6/D6</f>
        <v>27.3584905660377</v>
      </c>
      <c r="J6" s="8" t="n">
        <f aca="false">F6/D6</f>
        <v>403.77358490566</v>
      </c>
      <c r="K6" s="8" t="n">
        <f aca="false">G6/D6</f>
        <v>96.5042028933223</v>
      </c>
      <c r="L6" s="10" t="n">
        <f aca="false">H6/D6</f>
        <v>2.54716981132076</v>
      </c>
    </row>
    <row r="7" customFormat="false" ht="15" hidden="false" customHeight="false" outlineLevel="0" collapsed="false">
      <c r="A7" s="4" t="s">
        <v>33</v>
      </c>
      <c r="B7" s="5" t="s">
        <v>21</v>
      </c>
      <c r="C7" s="5"/>
      <c r="D7" s="6" t="n">
        <v>4.95</v>
      </c>
      <c r="E7" s="7" t="n">
        <v>114</v>
      </c>
      <c r="F7" s="7" t="n">
        <v>1430</v>
      </c>
      <c r="G7" s="8" t="n">
        <f aca="false">F7/4.184</f>
        <v>341.778202676864</v>
      </c>
      <c r="H7" s="7" t="n">
        <v>14</v>
      </c>
      <c r="I7" s="9" t="n">
        <f aca="false">E7/D7</f>
        <v>23.030303030303</v>
      </c>
      <c r="J7" s="8" t="n">
        <f aca="false">F7/D7</f>
        <v>288.888888888889</v>
      </c>
      <c r="K7" s="8" t="n">
        <f aca="false">G7/D7</f>
        <v>69.0461015508817</v>
      </c>
      <c r="L7" s="10" t="n">
        <f aca="false">H7/D7</f>
        <v>2.82828282828283</v>
      </c>
    </row>
    <row r="8" customFormat="false" ht="15" hidden="false" customHeight="false" outlineLevel="0" collapsed="false">
      <c r="A8" s="4" t="s">
        <v>35</v>
      </c>
      <c r="B8" s="5" t="s">
        <v>23</v>
      </c>
      <c r="C8" s="5"/>
      <c r="D8" s="6" t="n">
        <v>10.45</v>
      </c>
      <c r="E8" s="7" t="n">
        <v>215</v>
      </c>
      <c r="F8" s="7" t="n">
        <v>2050</v>
      </c>
      <c r="G8" s="8" t="n">
        <f aca="false">F8/4.184</f>
        <v>489.961759082218</v>
      </c>
      <c r="H8" s="7" t="n">
        <v>25</v>
      </c>
      <c r="I8" s="9" t="n">
        <f aca="false">E8/D8</f>
        <v>20.5741626794258</v>
      </c>
      <c r="J8" s="8" t="n">
        <f aca="false">F8/D8</f>
        <v>196.172248803828</v>
      </c>
      <c r="K8" s="8" t="n">
        <f aca="false">G8/D8</f>
        <v>46.8862927351405</v>
      </c>
      <c r="L8" s="10" t="n">
        <f aca="false">H8/D8</f>
        <v>2.39234449760766</v>
      </c>
    </row>
    <row r="9" customFormat="false" ht="15" hidden="false" customHeight="false" outlineLevel="0" collapsed="false">
      <c r="A9" s="4" t="s">
        <v>22</v>
      </c>
      <c r="B9" s="5" t="s">
        <v>23</v>
      </c>
      <c r="C9" s="5"/>
      <c r="D9" s="6" t="n">
        <v>4.3</v>
      </c>
      <c r="E9" s="7" t="n">
        <v>114</v>
      </c>
      <c r="F9" s="7" t="n">
        <v>1290</v>
      </c>
      <c r="G9" s="8" t="n">
        <f aca="false">F9/4.184</f>
        <v>308.317399617591</v>
      </c>
      <c r="H9" s="7" t="n">
        <v>16</v>
      </c>
      <c r="I9" s="9" t="n">
        <f aca="false">E9/D9</f>
        <v>26.5116279069767</v>
      </c>
      <c r="J9" s="8" t="n">
        <f aca="false">F9/D9</f>
        <v>300</v>
      </c>
      <c r="K9" s="8" t="n">
        <f aca="false">G9/D9</f>
        <v>71.7017208413002</v>
      </c>
      <c r="L9" s="10" t="n">
        <f aca="false">H9/D9</f>
        <v>3.72093023255814</v>
      </c>
    </row>
    <row r="10" customFormat="false" ht="15" hidden="false" customHeight="false" outlineLevel="0" collapsed="false">
      <c r="A10" s="4" t="s">
        <v>32</v>
      </c>
      <c r="B10" s="5" t="s">
        <v>23</v>
      </c>
      <c r="C10" s="5"/>
      <c r="D10" s="6" t="n">
        <v>7.05</v>
      </c>
      <c r="E10" s="7" t="n">
        <v>166</v>
      </c>
      <c r="F10" s="7" t="n">
        <v>1910</v>
      </c>
      <c r="G10" s="8" t="n">
        <f aca="false">F10/4.184</f>
        <v>456.500956022945</v>
      </c>
      <c r="H10" s="7" t="n">
        <v>26</v>
      </c>
      <c r="I10" s="9" t="n">
        <f aca="false">E10/D10</f>
        <v>23.5460992907801</v>
      </c>
      <c r="J10" s="8" t="n">
        <f aca="false">F10/D10</f>
        <v>270.921985815603</v>
      </c>
      <c r="K10" s="8" t="n">
        <f aca="false">G10/D10</f>
        <v>64.7519086557368</v>
      </c>
      <c r="L10" s="10" t="n">
        <f aca="false">H10/D10</f>
        <v>3.68794326241135</v>
      </c>
    </row>
    <row r="11" customFormat="false" ht="15" hidden="false" customHeight="false" outlineLevel="0" collapsed="false">
      <c r="A11" s="4" t="s">
        <v>28</v>
      </c>
      <c r="B11" s="5" t="s">
        <v>23</v>
      </c>
      <c r="C11" s="5"/>
      <c r="D11" s="6" t="n">
        <v>11.3</v>
      </c>
      <c r="E11" s="7" t="n">
        <v>271</v>
      </c>
      <c r="F11" s="7" t="n">
        <v>3270</v>
      </c>
      <c r="G11" s="8" t="n">
        <f aca="false">F11/4.184</f>
        <v>781.548757170172</v>
      </c>
      <c r="H11" s="7" t="n">
        <v>47</v>
      </c>
      <c r="I11" s="9" t="n">
        <f aca="false">E11/D11</f>
        <v>23.9823008849558</v>
      </c>
      <c r="J11" s="8" t="n">
        <f aca="false">F11/D11</f>
        <v>289.380530973451</v>
      </c>
      <c r="K11" s="8" t="n">
        <f aca="false">G11/D11</f>
        <v>69.1636068292188</v>
      </c>
      <c r="L11" s="10" t="n">
        <f aca="false">H11/D11</f>
        <v>4.15929203539823</v>
      </c>
    </row>
    <row r="12" customFormat="false" ht="15" hidden="false" customHeight="false" outlineLevel="0" collapsed="false">
      <c r="A12" s="4" t="s">
        <v>42</v>
      </c>
      <c r="B12" s="5" t="s">
        <v>23</v>
      </c>
      <c r="C12" s="5"/>
      <c r="D12" s="6" t="n">
        <v>9.1</v>
      </c>
      <c r="E12" s="7" t="n">
        <v>132</v>
      </c>
      <c r="F12" s="7" t="n">
        <v>1490</v>
      </c>
      <c r="G12" s="8" t="n">
        <f aca="false">F12/4.184</f>
        <v>356.118546845124</v>
      </c>
      <c r="H12" s="7" t="n">
        <v>15</v>
      </c>
      <c r="I12" s="9" t="n">
        <f aca="false">E12/D12</f>
        <v>14.5054945054945</v>
      </c>
      <c r="J12" s="8" t="n">
        <f aca="false">F12/D12</f>
        <v>163.736263736264</v>
      </c>
      <c r="K12" s="8" t="n">
        <f aca="false">G12/D12</f>
        <v>39.133906246717</v>
      </c>
      <c r="L12" s="10" t="n">
        <f aca="false">H12/D12</f>
        <v>1.64835164835165</v>
      </c>
    </row>
    <row r="13" customFormat="false" ht="15" hidden="false" customHeight="false" outlineLevel="0" collapsed="false">
      <c r="A13" s="4" t="s">
        <v>25</v>
      </c>
      <c r="B13" s="5" t="s">
        <v>23</v>
      </c>
      <c r="C13" s="5"/>
      <c r="D13" s="6" t="n">
        <v>3.95</v>
      </c>
      <c r="E13" s="7" t="n">
        <v>100</v>
      </c>
      <c r="F13" s="7" t="n">
        <v>1080</v>
      </c>
      <c r="G13" s="8" t="n">
        <f aca="false">F13/4.184</f>
        <v>258.126195028681</v>
      </c>
      <c r="H13" s="7" t="n">
        <v>13</v>
      </c>
      <c r="I13" s="9" t="n">
        <f aca="false">E13/D13</f>
        <v>25.3164556962025</v>
      </c>
      <c r="J13" s="8" t="n">
        <f aca="false">F13/D13</f>
        <v>273.417721518987</v>
      </c>
      <c r="K13" s="8" t="n">
        <f aca="false">G13/D13</f>
        <v>65.3484038047293</v>
      </c>
      <c r="L13" s="10" t="n">
        <f aca="false">H13/D13</f>
        <v>3.29113924050633</v>
      </c>
    </row>
    <row r="14" customFormat="false" ht="15" hidden="false" customHeight="false" outlineLevel="0" collapsed="false">
      <c r="A14" s="4" t="s">
        <v>30</v>
      </c>
      <c r="B14" s="5" t="s">
        <v>23</v>
      </c>
      <c r="C14" s="5" t="s">
        <v>31</v>
      </c>
      <c r="D14" s="6" t="n">
        <v>6.35</v>
      </c>
      <c r="E14" s="7" t="n">
        <v>150</v>
      </c>
      <c r="F14" s="7" t="n">
        <v>1700</v>
      </c>
      <c r="G14" s="8" t="n">
        <f aca="false">F14/4.184</f>
        <v>406.309751434034</v>
      </c>
      <c r="H14" s="7" t="n">
        <v>23</v>
      </c>
      <c r="I14" s="9" t="n">
        <f aca="false">E14/D14</f>
        <v>23.6220472440945</v>
      </c>
      <c r="J14" s="8" t="n">
        <f aca="false">F14/D14</f>
        <v>267.716535433071</v>
      </c>
      <c r="K14" s="8" t="n">
        <f aca="false">G14/D14</f>
        <v>63.985787627407</v>
      </c>
      <c r="L14" s="10" t="n">
        <f aca="false">H14/D14</f>
        <v>3.62204724409449</v>
      </c>
    </row>
    <row r="15" customFormat="false" ht="15" hidden="false" customHeight="false" outlineLevel="0" collapsed="false">
      <c r="A15" s="4" t="s">
        <v>37</v>
      </c>
      <c r="B15" s="5" t="s">
        <v>23</v>
      </c>
      <c r="C15" s="5"/>
      <c r="D15" s="6" t="n">
        <v>10.25</v>
      </c>
      <c r="E15" s="7" t="n">
        <v>196</v>
      </c>
      <c r="F15" s="7" t="n">
        <v>2230</v>
      </c>
      <c r="G15" s="8" t="n">
        <f aca="false">F15/4.184</f>
        <v>532.982791586998</v>
      </c>
      <c r="H15" s="7" t="n">
        <v>27</v>
      </c>
      <c r="I15" s="9" t="n">
        <f aca="false">E15/D15</f>
        <v>19.1219512195122</v>
      </c>
      <c r="J15" s="8" t="n">
        <f aca="false">F15/D15</f>
        <v>217.560975609756</v>
      </c>
      <c r="K15" s="8" t="n">
        <f aca="false">G15/D15</f>
        <v>51.9983211304388</v>
      </c>
      <c r="L15" s="10" t="n">
        <f aca="false">H15/D15</f>
        <v>2.63414634146341</v>
      </c>
    </row>
    <row r="16" customFormat="false" ht="15" hidden="false" customHeight="false" outlineLevel="0" collapsed="false">
      <c r="A16" s="4" t="s">
        <v>34</v>
      </c>
      <c r="B16" s="5" t="s">
        <v>27</v>
      </c>
      <c r="C16" s="5"/>
      <c r="D16" s="6" t="n">
        <v>6.3</v>
      </c>
      <c r="E16" s="7" t="n">
        <v>145</v>
      </c>
      <c r="F16" s="7" t="n">
        <v>1640</v>
      </c>
      <c r="G16" s="8" t="n">
        <f aca="false">F16/4.184</f>
        <v>391.969407265774</v>
      </c>
      <c r="H16" s="7" t="n">
        <v>16</v>
      </c>
      <c r="I16" s="9" t="n">
        <f aca="false">E16/D16</f>
        <v>23.015873015873</v>
      </c>
      <c r="J16" s="8" t="n">
        <f aca="false">F16/D16</f>
        <v>260.31746031746</v>
      </c>
      <c r="K16" s="8" t="n">
        <f aca="false">G16/D16</f>
        <v>62.2173662326626</v>
      </c>
      <c r="L16" s="10" t="n">
        <f aca="false">H16/D16</f>
        <v>2.53968253968254</v>
      </c>
    </row>
    <row r="17" customFormat="false" ht="15" hidden="false" customHeight="false" outlineLevel="0" collapsed="false">
      <c r="A17" s="4" t="s">
        <v>26</v>
      </c>
      <c r="B17" s="5" t="s">
        <v>27</v>
      </c>
      <c r="C17" s="5"/>
      <c r="D17" s="6" t="n">
        <v>8.85</v>
      </c>
      <c r="E17" s="7" t="n">
        <v>213</v>
      </c>
      <c r="F17" s="7" t="n">
        <v>2280</v>
      </c>
      <c r="G17" s="8" t="n">
        <f aca="false">F17/4.184</f>
        <v>544.933078393882</v>
      </c>
      <c r="H17" s="7" t="n">
        <v>28</v>
      </c>
      <c r="I17" s="9" t="n">
        <f aca="false">E17/D17</f>
        <v>24.0677966101695</v>
      </c>
      <c r="J17" s="8" t="n">
        <f aca="false">F17/D17</f>
        <v>257.627118644068</v>
      </c>
      <c r="K17" s="8" t="n">
        <f aca="false">G17/D17</f>
        <v>61.5743591405516</v>
      </c>
      <c r="L17" s="10" t="n">
        <f aca="false">H17/D17</f>
        <v>3.1638418079096</v>
      </c>
    </row>
    <row r="18" customFormat="false" ht="15" hidden="false" customHeight="false" outlineLevel="0" collapsed="false">
      <c r="A18" s="4" t="s">
        <v>43</v>
      </c>
      <c r="B18" s="5" t="s">
        <v>27</v>
      </c>
      <c r="C18" s="5"/>
      <c r="D18" s="6" t="n">
        <v>11.9</v>
      </c>
      <c r="E18" s="7" t="n">
        <v>165</v>
      </c>
      <c r="F18" s="7" t="n">
        <v>1800</v>
      </c>
      <c r="G18" s="8" t="n">
        <f aca="false">F18/4.184</f>
        <v>430.210325047801</v>
      </c>
      <c r="H18" s="7" t="n">
        <v>27</v>
      </c>
      <c r="I18" s="9" t="n">
        <f aca="false">E18/D18</f>
        <v>13.8655462184874</v>
      </c>
      <c r="J18" s="8" t="n">
        <f aca="false">F18/D18</f>
        <v>151.260504201681</v>
      </c>
      <c r="K18" s="8" t="n">
        <f aca="false">G18/D18</f>
        <v>36.1521281552774</v>
      </c>
      <c r="L18" s="10" t="n">
        <f aca="false">H18/D18</f>
        <v>2.26890756302521</v>
      </c>
    </row>
    <row r="19" customFormat="false" ht="15" hidden="false" customHeight="false" outlineLevel="0" collapsed="false">
      <c r="A19" s="4" t="s">
        <v>38</v>
      </c>
      <c r="B19" s="5" t="s">
        <v>27</v>
      </c>
      <c r="C19" s="5" t="s">
        <v>39</v>
      </c>
      <c r="D19" s="6" t="n">
        <v>17.9</v>
      </c>
      <c r="E19" s="7" t="n">
        <v>330</v>
      </c>
      <c r="F19" s="7" t="n">
        <v>3600</v>
      </c>
      <c r="G19" s="8" t="n">
        <f aca="false">F19/4.184</f>
        <v>860.420650095602</v>
      </c>
      <c r="H19" s="7" t="n">
        <v>53</v>
      </c>
      <c r="I19" s="9" t="n">
        <f aca="false">E19/D19</f>
        <v>18.4357541899441</v>
      </c>
      <c r="J19" s="8" t="n">
        <f aca="false">F19/D19</f>
        <v>201.117318435754</v>
      </c>
      <c r="K19" s="8" t="n">
        <f aca="false">G19/D19</f>
        <v>48.0681927427711</v>
      </c>
      <c r="L19" s="10" t="n">
        <f aca="false">H19/D19</f>
        <v>2.9608938547486</v>
      </c>
    </row>
    <row r="20" customFormat="false" ht="15" hidden="false" customHeight="false" outlineLevel="0" collapsed="false">
      <c r="A20" s="4" t="s">
        <v>44</v>
      </c>
      <c r="B20" s="5" t="s">
        <v>27</v>
      </c>
      <c r="C20" s="5"/>
      <c r="D20" s="6" t="n">
        <v>7.6</v>
      </c>
      <c r="E20" s="7" t="n">
        <v>100</v>
      </c>
      <c r="F20" s="7" t="n">
        <v>1080</v>
      </c>
      <c r="G20" s="8" t="n">
        <f aca="false">F20/4.184</f>
        <v>258.126195028681</v>
      </c>
      <c r="H20" s="7" t="n">
        <v>16</v>
      </c>
      <c r="I20" s="9" t="n">
        <f aca="false">E20/D20</f>
        <v>13.1578947368421</v>
      </c>
      <c r="J20" s="8" t="n">
        <f aca="false">F20/D20</f>
        <v>142.105263157895</v>
      </c>
      <c r="K20" s="8" t="n">
        <f aca="false">G20/D20</f>
        <v>33.9639730300896</v>
      </c>
      <c r="L20" s="10" t="n">
        <f aca="false">H20/D20</f>
        <v>2.10526315789474</v>
      </c>
    </row>
    <row r="21" customFormat="false" ht="15" hidden="false" customHeight="false" outlineLevel="0" collapsed="false">
      <c r="A21" s="4" t="s">
        <v>36</v>
      </c>
      <c r="B21" s="5" t="s">
        <v>15</v>
      </c>
      <c r="C21" s="5"/>
      <c r="D21" s="6" t="n">
        <v>4.05</v>
      </c>
      <c r="E21" s="7" t="n">
        <v>80</v>
      </c>
      <c r="F21" s="7" t="n">
        <v>1050</v>
      </c>
      <c r="G21" s="8" t="n">
        <f aca="false">F21/4.184</f>
        <v>250.956022944551</v>
      </c>
      <c r="H21" s="7" t="n">
        <v>3</v>
      </c>
      <c r="I21" s="9" t="n">
        <f aca="false">E21/D21</f>
        <v>19.7530864197531</v>
      </c>
      <c r="J21" s="8" t="n">
        <f aca="false">F21/D21</f>
        <v>259.259259259259</v>
      </c>
      <c r="K21" s="8" t="n">
        <f aca="false">G21/D21</f>
        <v>61.9644501097656</v>
      </c>
      <c r="L21" s="10" t="n">
        <f aca="false">H21/D21</f>
        <v>0.740740740740741</v>
      </c>
    </row>
    <row r="22" customFormat="false" ht="15" hidden="false" customHeight="false" outlineLevel="0" collapsed="false">
      <c r="A22" s="4" t="s">
        <v>40</v>
      </c>
      <c r="B22" s="5" t="s">
        <v>15</v>
      </c>
      <c r="C22" s="5"/>
      <c r="D22" s="6" t="n">
        <v>1.8</v>
      </c>
      <c r="E22" s="7" t="n">
        <v>33</v>
      </c>
      <c r="F22" s="7" t="n">
        <v>690</v>
      </c>
      <c r="G22" s="8" t="n">
        <f aca="false">F22/4.184</f>
        <v>164.91395793499</v>
      </c>
      <c r="H22" s="7" t="n">
        <v>2</v>
      </c>
      <c r="I22" s="9" t="n">
        <f aca="false">E22/D22</f>
        <v>18.3333333333333</v>
      </c>
      <c r="J22" s="8" t="n">
        <f aca="false">F22/D22</f>
        <v>383.333333333333</v>
      </c>
      <c r="K22" s="8" t="n">
        <f aca="false">G22/D22</f>
        <v>91.6188655194391</v>
      </c>
      <c r="L22" s="10" t="n">
        <f aca="false">H22/D22</f>
        <v>1.11111111111111</v>
      </c>
    </row>
    <row r="23" customFormat="false" ht="15" hidden="false" customHeight="false" outlineLevel="0" collapsed="false">
      <c r="A23" s="4" t="s">
        <v>16</v>
      </c>
      <c r="B23" s="5" t="s">
        <v>15</v>
      </c>
      <c r="C23" s="5"/>
      <c r="D23" s="6" t="n">
        <v>4.2</v>
      </c>
      <c r="E23" s="7" t="n">
        <v>179</v>
      </c>
      <c r="F23" s="7" t="n">
        <v>1390</v>
      </c>
      <c r="G23" s="8" t="n">
        <f aca="false">F23/4.184</f>
        <v>332.217973231358</v>
      </c>
      <c r="H23" s="7" t="n">
        <v>6</v>
      </c>
      <c r="I23" s="9" t="n">
        <f aca="false">E23/D23</f>
        <v>42.6190476190476</v>
      </c>
      <c r="J23" s="8" t="n">
        <f aca="false">F23/D23</f>
        <v>330.952380952381</v>
      </c>
      <c r="K23" s="8" t="n">
        <f aca="false">G23/D23</f>
        <v>79.0995174360375</v>
      </c>
      <c r="L23" s="10" t="n">
        <f aca="false">H23/D23</f>
        <v>1.42857142857143</v>
      </c>
    </row>
    <row r="24" customFormat="false" ht="15" hidden="false" customHeight="false" outlineLevel="0" collapsed="false">
      <c r="A24" s="4" t="s">
        <v>14</v>
      </c>
      <c r="B24" s="5" t="s">
        <v>15</v>
      </c>
      <c r="C24" s="5"/>
      <c r="D24" s="6" t="n">
        <v>1.5</v>
      </c>
      <c r="E24" s="7" t="n">
        <v>90</v>
      </c>
      <c r="F24" s="7" t="n">
        <v>770</v>
      </c>
      <c r="G24" s="8" t="n">
        <f aca="false">F24/4.184</f>
        <v>184.034416826004</v>
      </c>
      <c r="H24" s="7" t="n">
        <v>4</v>
      </c>
      <c r="I24" s="9" t="n">
        <f aca="false">E24/D24</f>
        <v>60</v>
      </c>
      <c r="J24" s="8" t="n">
        <f aca="false">F24/D24</f>
        <v>513.333333333333</v>
      </c>
      <c r="K24" s="8" t="n">
        <f aca="false">G24/D24</f>
        <v>122.689611217336</v>
      </c>
      <c r="L24" s="10" t="n">
        <f aca="false">H24/D24</f>
        <v>2.66666666666667</v>
      </c>
    </row>
    <row r="25" customFormat="false" ht="15" hidden="false" customHeight="false" outlineLevel="0" collapsed="false">
      <c r="A25" s="4" t="s">
        <v>41</v>
      </c>
      <c r="B25" s="5" t="s">
        <v>18</v>
      </c>
      <c r="C25" s="5"/>
      <c r="D25" s="6" t="n">
        <v>2.95</v>
      </c>
      <c r="E25" s="7" t="n">
        <v>53</v>
      </c>
      <c r="F25" s="7" t="n">
        <v>610</v>
      </c>
      <c r="G25" s="8" t="n">
        <f aca="false">F25/4.184</f>
        <v>145.793499043977</v>
      </c>
      <c r="H25" s="7" t="n">
        <v>2</v>
      </c>
      <c r="I25" s="9" t="n">
        <f aca="false">E25/D25</f>
        <v>17.9661016949153</v>
      </c>
      <c r="J25" s="8" t="n">
        <f aca="false">F25/D25</f>
        <v>206.779661016949</v>
      </c>
      <c r="K25" s="8" t="n">
        <f aca="false">G25/D25</f>
        <v>49.4215250996532</v>
      </c>
      <c r="L25" s="10" t="n">
        <f aca="false">H25/D25</f>
        <v>0.677966101694915</v>
      </c>
    </row>
    <row r="26" customFormat="false" ht="15" hidden="false" customHeight="false" outlineLevel="0" collapsed="false">
      <c r="A26" s="4" t="s">
        <v>17</v>
      </c>
      <c r="B26" s="5" t="s">
        <v>18</v>
      </c>
      <c r="C26" s="5"/>
      <c r="D26" s="6" t="n">
        <v>5.95</v>
      </c>
      <c r="E26" s="7" t="n">
        <v>200</v>
      </c>
      <c r="F26" s="7" t="n">
        <v>2290</v>
      </c>
      <c r="G26" s="8" t="n">
        <f aca="false">F26/4.184</f>
        <v>547.323135755258</v>
      </c>
      <c r="H26" s="7" t="n">
        <v>8</v>
      </c>
      <c r="I26" s="9" t="n">
        <f aca="false">E26/D26</f>
        <v>33.6134453781513</v>
      </c>
      <c r="J26" s="8" t="n">
        <f aca="false">F26/D26</f>
        <v>384.873949579832</v>
      </c>
      <c r="K26" s="8" t="n">
        <f aca="false">G26/D26</f>
        <v>91.9870816395392</v>
      </c>
      <c r="L26" s="10" t="n">
        <f aca="false">H26/D26</f>
        <v>1.34453781512605</v>
      </c>
    </row>
    <row r="27" customFormat="false" ht="15" hidden="false" customHeight="false" outlineLevel="0" collapsed="false">
      <c r="A27" s="4" t="s">
        <v>19</v>
      </c>
      <c r="B27" s="5" t="s">
        <v>18</v>
      </c>
      <c r="C27" s="5"/>
      <c r="D27" s="6" t="n">
        <v>5.25</v>
      </c>
      <c r="E27" s="7" t="n">
        <v>150</v>
      </c>
      <c r="F27" s="7" t="n">
        <v>1720</v>
      </c>
      <c r="G27" s="8" t="n">
        <f aca="false">F27/4.184</f>
        <v>411.089866156788</v>
      </c>
      <c r="H27" s="7" t="n">
        <v>6</v>
      </c>
      <c r="I27" s="9" t="n">
        <f aca="false">E27/D27</f>
        <v>28.5714285714286</v>
      </c>
      <c r="J27" s="8" t="n">
        <f aca="false">F27/D27</f>
        <v>327.619047619048</v>
      </c>
      <c r="K27" s="8" t="n">
        <f aca="false">G27/D27</f>
        <v>78.302831648912</v>
      </c>
      <c r="L27" s="10" t="n">
        <f aca="false">H27/D27</f>
        <v>1.14285714285714</v>
      </c>
    </row>
    <row r="28" customFormat="false" ht="15" hidden="false" customHeight="false" outlineLevel="0" collapsed="false">
      <c r="A28" s="4" t="s">
        <v>24</v>
      </c>
      <c r="B28" s="5" t="s">
        <v>18</v>
      </c>
      <c r="C28" s="5"/>
      <c r="D28" s="6" t="n">
        <v>4.55</v>
      </c>
      <c r="E28" s="7" t="n">
        <v>116</v>
      </c>
      <c r="F28" s="7" t="n">
        <v>1330</v>
      </c>
      <c r="G28" s="8" t="n">
        <f aca="false">F28/4.184</f>
        <v>317.877629063098</v>
      </c>
      <c r="H28" s="7" t="n">
        <v>5</v>
      </c>
      <c r="I28" s="9" t="n">
        <f aca="false">E28/D28</f>
        <v>25.4945054945055</v>
      </c>
      <c r="J28" s="8" t="n">
        <f aca="false">F28/D28</f>
        <v>292.307692307692</v>
      </c>
      <c r="K28" s="8" t="n">
        <f aca="false">G28/D28</f>
        <v>69.8632151787028</v>
      </c>
      <c r="L28" s="10" t="n">
        <f aca="false">H28/D28</f>
        <v>1.0989010989011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52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2" t="s">
        <v>53</v>
      </c>
    </row>
    <row r="6" customFormat="false" ht="15" hidden="false" customHeight="false" outlineLevel="0" collapsed="false">
      <c r="A6" s="11" t="s">
        <v>54</v>
      </c>
    </row>
    <row r="7" customFormat="false" ht="15" hidden="false" customHeight="false" outlineLevel="0" collapsed="false">
      <c r="A7" s="11" t="s">
        <v>55</v>
      </c>
    </row>
    <row r="8" customFormat="false" ht="15" hidden="false" customHeight="false" outlineLevel="0" collapsed="false">
      <c r="A8" s="11" t="s">
        <v>56</v>
      </c>
    </row>
    <row r="9" customFormat="false" ht="15" hidden="false" customHeight="false" outlineLevel="0" collapsed="false">
      <c r="A9" s="11" t="s">
        <v>57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2" t="s">
        <v>58</v>
      </c>
    </row>
    <row r="12" customFormat="false" ht="15" hidden="false" customHeight="false" outlineLevel="0" collapsed="false">
      <c r="A12" s="11" t="s">
        <v>59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2" t="s">
        <v>60</v>
      </c>
    </row>
    <row r="15" customFormat="false" ht="15" hidden="false" customHeight="false" outlineLevel="0" collapsed="false">
      <c r="A15" s="11" t="s">
        <v>61</v>
      </c>
    </row>
    <row r="16" customFormat="false" ht="15" hidden="false" customHeight="false" outlineLevel="0" collapsed="false">
      <c r="A16" s="11" t="s">
        <v>62</v>
      </c>
    </row>
    <row r="17" customFormat="false" ht="15" hidden="false" customHeight="false" outlineLevel="0" collapsed="false">
      <c r="A17" s="11" t="s">
        <v>63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2" t="s">
        <v>64</v>
      </c>
    </row>
    <row r="20" customFormat="false" ht="15" hidden="false" customHeight="false" outlineLevel="0" collapsed="false">
      <c r="A20" s="11" t="s">
        <v>65</v>
      </c>
    </row>
    <row r="21" customFormat="false" ht="15" hidden="false" customHeight="false" outlineLevel="0" collapsed="false">
      <c r="A21" s="11" t="s">
        <v>66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2026-06-01T02:22:19Z</dcterms:created>
  <dc:creator>openpyxl</dc:creator>
  <dc:description/>
  <dc:language>en-US</dc:language>
  <cp:lastModifiedBy/>
  <dcterms:modified xsi:type="dcterms:W3CDTF">2026-06-01T02:22:19Z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