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est Value (g per $)" sheetId="1" state="visible" r:id="rId3"/>
    <sheet name="Best Value (kJ per $)" sheetId="2" state="visible" r:id="rId4"/>
    <sheet name="Best Value (protein per $)" sheetId="3" state="visible" r:id="rId5"/>
    <sheet name="All Items (by category)" sheetId="4" state="visible" r:id="rId6"/>
    <sheet name="Notes &amp; Method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<sst xmlns="http://schemas.openxmlformats.org/spreadsheetml/2006/main" count="546" uniqueCount="100">
  <si>
    <t xml:space="preserve">GYG Australia — Best Value Food (most food per dollar)</t>
  </si>
  <si>
    <t xml:space="preserve">Ranked by grams of food per dollar. Prices from attached menu (‘from’ / base price). Nutrition from GYG guide, current 25 Jun 2024. Standard filling = Grilled Chicken unless noted. Prices vary by store.</t>
  </si>
  <si>
    <t xml:space="preserve">Item</t>
  </si>
  <si>
    <t xml:space="preserve">Category</t>
  </si>
  <si>
    <t xml:space="preserve">Filling / Note</t>
  </si>
  <si>
    <t xml:space="preserve">Price ($)</t>
  </si>
  <si>
    <t xml:space="preserve">Serve (g)</t>
  </si>
  <si>
    <t xml:space="preserve">Energy (kJ)</t>
  </si>
  <si>
    <t xml:space="preserve">Energy (Cal)</t>
  </si>
  <si>
    <t xml:space="preserve">Protein (g)</t>
  </si>
  <si>
    <t xml:space="preserve">Grams / $</t>
  </si>
  <si>
    <t xml:space="preserve">kJ / $</t>
  </si>
  <si>
    <t xml:space="preserve">Cal / $</t>
  </si>
  <si>
    <t xml:space="preserve">Protein g / $</t>
  </si>
  <si>
    <t xml:space="preserve">Queso Fries (Lrg)</t>
  </si>
  <si>
    <t xml:space="preserve">Side</t>
  </si>
  <si>
    <t xml:space="preserve">Mild</t>
  </si>
  <si>
    <t xml:space="preserve">Enchilada</t>
  </si>
  <si>
    <t xml:space="preserve">Main</t>
  </si>
  <si>
    <t xml:space="preserve">Grilled Chicken</t>
  </si>
  <si>
    <t xml:space="preserve">Corn Chips + Guac (Lrg)</t>
  </si>
  <si>
    <t xml:space="preserve">with Large Guac</t>
  </si>
  <si>
    <t xml:space="preserve">Soft Serve Cone</t>
  </si>
  <si>
    <t xml:space="preserve">Dessert</t>
  </si>
  <si>
    <t xml:space="preserve">GYG Sundae (Lrg)</t>
  </si>
  <si>
    <t xml:space="preserve">Choc sauce</t>
  </si>
  <si>
    <t xml:space="preserve">Burrito</t>
  </si>
  <si>
    <t xml:space="preserve">Churro Sundae</t>
  </si>
  <si>
    <t xml:space="preserve">Fries (Med)</t>
  </si>
  <si>
    <t xml:space="preserve">Chipotle seasoned</t>
  </si>
  <si>
    <t xml:space="preserve">Bowl</t>
  </si>
  <si>
    <t xml:space="preserve">Fries (Lrg)</t>
  </si>
  <si>
    <t xml:space="preserve">Corn Chips + Guac (Med)</t>
  </si>
  <si>
    <t xml:space="preserve">with Medium Guac</t>
  </si>
  <si>
    <t xml:space="preserve">GYG Sundae (Sml)</t>
  </si>
  <si>
    <t xml:space="preserve">Mini Enchilada</t>
  </si>
  <si>
    <t xml:space="preserve">Mini</t>
  </si>
  <si>
    <t xml:space="preserve">Nachos</t>
  </si>
  <si>
    <t xml:space="preserve">Cali Burrito</t>
  </si>
  <si>
    <t xml:space="preserve">Nacho Fries</t>
  </si>
  <si>
    <t xml:space="preserve">Tenders &amp; Fries</t>
  </si>
  <si>
    <t xml:space="preserve">Snack</t>
  </si>
  <si>
    <t xml:space="preserve">with Sweet Chipotle BBQ</t>
  </si>
  <si>
    <t xml:space="preserve">Corn Chips + Queso (Lrg)</t>
  </si>
  <si>
    <t xml:space="preserve">with Large Queso</t>
  </si>
  <si>
    <t xml:space="preserve">Churros + Choc Sauce</t>
  </si>
  <si>
    <t xml:space="preserve">Nacho Sundae</t>
  </si>
  <si>
    <t xml:space="preserve">Mini Bowl</t>
  </si>
  <si>
    <t xml:space="preserve">Mini Burrito</t>
  </si>
  <si>
    <t xml:space="preserve">Mini Nacho Fries</t>
  </si>
  <si>
    <t xml:space="preserve">Mini Cali Burrito</t>
  </si>
  <si>
    <t xml:space="preserve">Little G's Burrito Meal</t>
  </si>
  <si>
    <t xml:space="preserve">Kids</t>
  </si>
  <si>
    <t xml:space="preserve">Grilled Chicken burrito + kids fries + water</t>
  </si>
  <si>
    <t xml:space="preserve">$3 Taco</t>
  </si>
  <si>
    <t xml:space="preserve">Taco</t>
  </si>
  <si>
    <t xml:space="preserve">Ground Beef (only option)</t>
  </si>
  <si>
    <t xml:space="preserve">Corn Chips + Queso (Med)</t>
  </si>
  <si>
    <t xml:space="preserve">with Medium Queso</t>
  </si>
  <si>
    <t xml:space="preserve">Soft Tacos (3)</t>
  </si>
  <si>
    <t xml:space="preserve">Mini Nachos</t>
  </si>
  <si>
    <t xml:space="preserve">Quesadilla Plus</t>
  </si>
  <si>
    <t xml:space="preserve">Soft Taco (1)</t>
  </si>
  <si>
    <t xml:space="preserve">Shiitake Taco (Herb Mayo)</t>
  </si>
  <si>
    <t xml:space="preserve">Pulled Shiitake Mushroom</t>
  </si>
  <si>
    <t xml:space="preserve">Salad</t>
  </si>
  <si>
    <t xml:space="preserve">Grilled Chicken + chipotle mayo</t>
  </si>
  <si>
    <t xml:space="preserve">Hard Taco (1)</t>
  </si>
  <si>
    <t xml:space="preserve">Tender Tacos soft (3)</t>
  </si>
  <si>
    <t xml:space="preserve">Crispy Chicken Tender</t>
  </si>
  <si>
    <t xml:space="preserve">Tender Taco soft (1)</t>
  </si>
  <si>
    <t xml:space="preserve">Mini Salad</t>
  </si>
  <si>
    <t xml:space="preserve">Crispy Chicken Tenders (2)</t>
  </si>
  <si>
    <t xml:space="preserve">Crispy Chicken Tenders (3)</t>
  </si>
  <si>
    <t xml:space="preserve">Quesadilla</t>
  </si>
  <si>
    <t xml:space="preserve">Cheese only</t>
  </si>
  <si>
    <t xml:space="preserve">GYG Australia — Best Energy Value (kJ per dollar)</t>
  </si>
  <si>
    <t xml:space="preserve">Ranked by kilojoules per dollar (energy bang-for-buck). Same data as other sheets.</t>
  </si>
  <si>
    <t xml:space="preserve">GYG Australia — Best Protein Value (protein g per dollar)</t>
  </si>
  <si>
    <t xml:space="preserve">Ranked by grams of protein per dollar. Useful if you want filling, not just bulk.</t>
  </si>
  <si>
    <t xml:space="preserve">GYG Australia — All Items</t>
  </si>
  <si>
    <t xml:space="preserve">Grouped by category, alphabetical. Yellow column = the headline ‘food per dollar’ metric.</t>
  </si>
  <si>
    <t xml:space="preserve">Notes &amp; Method</t>
  </si>
  <si>
    <t xml:space="preserve">PRICES: Taken from the attached GYG national menu (the ‘from’ / base price for each item).</t>
  </si>
  <si>
    <t xml:space="preserve">GYG prices vary by location, ordering channel (in-store vs delivery apps) and over time, so treat these as a guide.</t>
  </si>
  <si>
    <t xml:space="preserve">NUTRITION: From the GYG Allergen, Ingredient &amp; Nutritional guide, ‘current at June 25, 2024’.</t>
  </si>
  <si>
    <t xml:space="preserve">Serve size (g), energy (kJ) and protein (g) are taken directly from that guide.</t>
  </si>
  <si>
    <t xml:space="preserve">Energy (Cal) is calculated as kJ / 4.184.</t>
  </si>
  <si>
    <t xml:space="preserve">FILLING: To compare like-for-like, the standard filling is Grilled Chicken where a choice exists.</t>
  </si>
  <si>
    <t xml:space="preserve">Exceptions: Quesadilla = cheese only (its base price); $3 Taco = ground beef (only option);</t>
  </si>
  <si>
    <t xml:space="preserve">Tender items = crispy chicken tender; corn-chip/queso/fries sides use the dip/seasoning noted.</t>
  </si>
  <si>
    <t xml:space="preserve">Brisket adds ~$1 and other fillings shift weight/energy slightly, so value rankings move a little by filling.</t>
  </si>
  <si>
    <t xml:space="preserve">METRICS:</t>
  </si>
  <si>
    <t xml:space="preserve">Grams / $  = serve size (g) / price  -&gt;  the literal ‘most food per dollar’ measure (headline).</t>
  </si>
  <si>
    <t xml:space="preserve">kJ / $     = energy (kJ) / price      -&gt;  most energy per dollar.</t>
  </si>
  <si>
    <t xml:space="preserve">Protein g / $ = protein (g) / price  -&gt;  most protein per dollar.</t>
  </si>
  <si>
    <t xml:space="preserve">CAVEAT: Grams/$ rewards heavy, dip- or cheese-laden items (e.g. queso fries, corn chips + guac).</t>
  </si>
  <si>
    <t xml:space="preserve">For a balanced, filling meal, look at items that rank well across all three metrics — the Enchilada,</t>
  </si>
  <si>
    <t xml:space="preserve">Burrito and Bowl are strong all-rounders; Queso Fries and loaded Corn Chips win pure weight-per-dollar.</t>
  </si>
  <si>
    <t xml:space="preserve">All value columns are live Excel formulas, so you can edit any price or serve size and rankings update.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</si>
</sst>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.00"/>
    <numFmt numFmtId="166" formatCode="#,##0"/>
    <numFmt numFmtId="167" formatCode="#,##0.0"/>
    <numFmt numFmtId="168" formatCode="#,##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2E2E2E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FFD40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E2E2E"/>
        <bgColor rgb="FF333300"/>
      </patternFill>
    </fill>
    <fill>
      <patternFill patternType="solid">
        <fgColor rgb="FFFFF4C2"/>
        <bgColor rgb="FFFFFF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4C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D4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E2E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"/>
    <col collapsed="false" customWidth="true" hidden="false" outlineLevel="0" max="3" min="3" style="0" width="34"/>
    <col collapsed="false" customWidth="true" hidden="false" outlineLevel="0" max="4" min="4" style="0" width="10"/>
    <col collapsed="false" customWidth="true" hidden="false" outlineLevel="0" max="5" min="5" style="0" width="9"/>
    <col collapsed="false" customWidth="true" hidden="false" outlineLevel="0" max="7" min="6" style="0" width="11"/>
    <col collapsed="false" customWidth="true" hidden="false" outlineLevel="0" max="9" min="8" style="0" width="10"/>
    <col collapsed="false" customWidth="true" hidden="false" outlineLevel="0" max="11" min="10" style="0" width="8"/>
    <col collapsed="false" customWidth="true" hidden="false" outlineLevel="0" max="12" min="12" style="0" width="12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</row>
    <row r="5" customFormat="false" ht="15" hidden="false" customHeight="false" outlineLevel="0" collapsed="false">
      <c r="A5" s="4" t="s">
        <v>14</v>
      </c>
      <c r="B5" s="5" t="s">
        <v>15</v>
      </c>
      <c r="C5" s="5" t="s">
        <v>16</v>
      </c>
      <c r="D5" s="6" t="n">
        <v>6.7</v>
      </c>
      <c r="E5" s="7" t="n">
        <v>330</v>
      </c>
      <c r="F5" s="7" t="n">
        <v>3080</v>
      </c>
      <c r="G5" s="8" t="n">
        <f aca="false">F5/4.184</f>
        <v>736.137667304015</v>
      </c>
      <c r="H5" s="7" t="n">
        <v>20.1</v>
      </c>
      <c r="I5" s="9" t="n">
        <f aca="false">E5/D5</f>
        <v>49.2537313432836</v>
      </c>
      <c r="J5" s="8" t="n">
        <f aca="false">F5/D5</f>
        <v>459.701492537313</v>
      </c>
      <c r="K5" s="8" t="n">
        <f aca="false">G5/D5</f>
        <v>109.871293627465</v>
      </c>
      <c r="L5" s="10" t="n">
        <f aca="false">H5/D5</f>
        <v>3</v>
      </c>
    </row>
    <row r="6" customFormat="false" ht="15" hidden="false" customHeight="false" outlineLevel="0" collapsed="false">
      <c r="A6" s="4" t="s">
        <v>17</v>
      </c>
      <c r="B6" s="5" t="s">
        <v>18</v>
      </c>
      <c r="C6" s="5" t="s">
        <v>19</v>
      </c>
      <c r="D6" s="6" t="n">
        <v>17.1</v>
      </c>
      <c r="E6" s="7" t="n">
        <v>699</v>
      </c>
      <c r="F6" s="7" t="n">
        <v>4680</v>
      </c>
      <c r="G6" s="8" t="n">
        <f aca="false">F6/4.184</f>
        <v>1118.54684512428</v>
      </c>
      <c r="H6" s="7" t="n">
        <v>56.2</v>
      </c>
      <c r="I6" s="9" t="n">
        <f aca="false">E6/D6</f>
        <v>40.8771929824561</v>
      </c>
      <c r="J6" s="8" t="n">
        <f aca="false">F6/D6</f>
        <v>273.684210526316</v>
      </c>
      <c r="K6" s="8" t="n">
        <f aca="false">G6/D6</f>
        <v>65.4120962060984</v>
      </c>
      <c r="L6" s="10" t="n">
        <f aca="false">H6/D6</f>
        <v>3.28654970760234</v>
      </c>
    </row>
    <row r="7" customFormat="false" ht="15" hidden="false" customHeight="false" outlineLevel="0" collapsed="false">
      <c r="A7" s="4" t="s">
        <v>20</v>
      </c>
      <c r="B7" s="5" t="s">
        <v>15</v>
      </c>
      <c r="C7" s="5" t="s">
        <v>21</v>
      </c>
      <c r="D7" s="6" t="n">
        <v>10.1</v>
      </c>
      <c r="E7" s="7" t="n">
        <v>385</v>
      </c>
      <c r="F7" s="7" t="n">
        <v>4310</v>
      </c>
      <c r="G7" s="8" t="n">
        <f aca="false">F7/4.184</f>
        <v>1030.11472275335</v>
      </c>
      <c r="H7" s="7" t="n">
        <v>12</v>
      </c>
      <c r="I7" s="9" t="n">
        <f aca="false">E7/D7</f>
        <v>38.1188118811881</v>
      </c>
      <c r="J7" s="8" t="n">
        <f aca="false">F7/D7</f>
        <v>426.732673267327</v>
      </c>
      <c r="K7" s="8" t="n">
        <f aca="false">G7/D7</f>
        <v>101.991556708252</v>
      </c>
      <c r="L7" s="10" t="n">
        <f aca="false">H7/D7</f>
        <v>1.18811881188119</v>
      </c>
    </row>
    <row r="8" customFormat="false" ht="15" hidden="false" customHeight="false" outlineLevel="0" collapsed="false">
      <c r="A8" s="4" t="s">
        <v>22</v>
      </c>
      <c r="B8" s="5" t="s">
        <v>23</v>
      </c>
      <c r="C8" s="5"/>
      <c r="D8" s="6" t="n">
        <v>2.5</v>
      </c>
      <c r="E8" s="7" t="n">
        <v>95</v>
      </c>
      <c r="F8" s="7" t="n">
        <v>687</v>
      </c>
      <c r="G8" s="8" t="n">
        <f aca="false">F8/4.184</f>
        <v>164.196940726577</v>
      </c>
      <c r="H8" s="7" t="n">
        <v>3</v>
      </c>
      <c r="I8" s="9" t="n">
        <f aca="false">E8/D8</f>
        <v>38</v>
      </c>
      <c r="J8" s="8" t="n">
        <f aca="false">F8/D8</f>
        <v>274.8</v>
      </c>
      <c r="K8" s="8" t="n">
        <f aca="false">G8/D8</f>
        <v>65.678776290631</v>
      </c>
      <c r="L8" s="10" t="n">
        <f aca="false">H8/D8</f>
        <v>1.2</v>
      </c>
    </row>
    <row r="9" customFormat="false" ht="15" hidden="false" customHeight="false" outlineLevel="0" collapsed="false">
      <c r="A9" s="4" t="s">
        <v>24</v>
      </c>
      <c r="B9" s="5" t="s">
        <v>23</v>
      </c>
      <c r="C9" s="5" t="s">
        <v>25</v>
      </c>
      <c r="D9" s="6" t="n">
        <v>4.5</v>
      </c>
      <c r="E9" s="7" t="n">
        <v>165</v>
      </c>
      <c r="F9" s="7" t="n">
        <v>1040</v>
      </c>
      <c r="G9" s="8" t="n">
        <f aca="false">F9/4.184</f>
        <v>248.565965583174</v>
      </c>
      <c r="H9" s="7" t="n">
        <v>4.4</v>
      </c>
      <c r="I9" s="9" t="n">
        <f aca="false">E9/D9</f>
        <v>36.6666666666667</v>
      </c>
      <c r="J9" s="8" t="n">
        <f aca="false">F9/D9</f>
        <v>231.111111111111</v>
      </c>
      <c r="K9" s="8" t="n">
        <f aca="false">G9/D9</f>
        <v>55.2368812407053</v>
      </c>
      <c r="L9" s="10" t="n">
        <f aca="false">H9/D9</f>
        <v>0.977777777777778</v>
      </c>
    </row>
    <row r="10" customFormat="false" ht="15" hidden="false" customHeight="false" outlineLevel="0" collapsed="false">
      <c r="A10" s="4" t="s">
        <v>26</v>
      </c>
      <c r="B10" s="5" t="s">
        <v>18</v>
      </c>
      <c r="C10" s="5" t="s">
        <v>19</v>
      </c>
      <c r="D10" s="6" t="n">
        <v>14.2</v>
      </c>
      <c r="E10" s="7" t="n">
        <v>480</v>
      </c>
      <c r="F10" s="7" t="n">
        <v>3250</v>
      </c>
      <c r="G10" s="8" t="n">
        <f aca="false">F10/4.184</f>
        <v>776.768642447419</v>
      </c>
      <c r="H10" s="7" t="n">
        <v>47.2</v>
      </c>
      <c r="I10" s="9" t="n">
        <f aca="false">E10/D10</f>
        <v>33.8028169014085</v>
      </c>
      <c r="J10" s="8" t="n">
        <f aca="false">F10/D10</f>
        <v>228.87323943662</v>
      </c>
      <c r="K10" s="8" t="n">
        <f aca="false">G10/D10</f>
        <v>54.7020170737619</v>
      </c>
      <c r="L10" s="10" t="n">
        <f aca="false">H10/D10</f>
        <v>3.32394366197183</v>
      </c>
    </row>
    <row r="11" customFormat="false" ht="15" hidden="false" customHeight="false" outlineLevel="0" collapsed="false">
      <c r="A11" s="4" t="s">
        <v>27</v>
      </c>
      <c r="B11" s="5" t="s">
        <v>23</v>
      </c>
      <c r="C11" s="5" t="s">
        <v>25</v>
      </c>
      <c r="D11" s="6" t="n">
        <v>5.5</v>
      </c>
      <c r="E11" s="7" t="n">
        <v>183</v>
      </c>
      <c r="F11" s="7" t="n">
        <v>1310</v>
      </c>
      <c r="G11" s="8" t="n">
        <f aca="false">F11/4.184</f>
        <v>313.097514340344</v>
      </c>
      <c r="H11" s="7" t="n">
        <v>5.5</v>
      </c>
      <c r="I11" s="9" t="n">
        <f aca="false">E11/D11</f>
        <v>33.2727272727273</v>
      </c>
      <c r="J11" s="8" t="n">
        <f aca="false">F11/D11</f>
        <v>238.181818181818</v>
      </c>
      <c r="K11" s="8" t="n">
        <f aca="false">G11/D11</f>
        <v>56.9268207891535</v>
      </c>
      <c r="L11" s="10" t="n">
        <f aca="false">H11/D11</f>
        <v>1</v>
      </c>
    </row>
    <row r="12" customFormat="false" ht="15" hidden="false" customHeight="false" outlineLevel="0" collapsed="false">
      <c r="A12" s="4" t="s">
        <v>28</v>
      </c>
      <c r="B12" s="5" t="s">
        <v>15</v>
      </c>
      <c r="C12" s="5" t="s">
        <v>29</v>
      </c>
      <c r="D12" s="6" t="n">
        <v>3.7</v>
      </c>
      <c r="E12" s="7" t="n">
        <v>120</v>
      </c>
      <c r="F12" s="7" t="n">
        <v>1500</v>
      </c>
      <c r="G12" s="8" t="n">
        <f aca="false">F12/4.184</f>
        <v>358.508604206501</v>
      </c>
      <c r="H12" s="7" t="n">
        <v>5.3</v>
      </c>
      <c r="I12" s="9" t="n">
        <f aca="false">E12/D12</f>
        <v>32.4324324324324</v>
      </c>
      <c r="J12" s="8" t="n">
        <f aca="false">F12/D12</f>
        <v>405.405405405405</v>
      </c>
      <c r="K12" s="8" t="n">
        <f aca="false">G12/D12</f>
        <v>96.8942173531084</v>
      </c>
      <c r="L12" s="10" t="n">
        <f aca="false">H12/D12</f>
        <v>1.43243243243243</v>
      </c>
    </row>
    <row r="13" customFormat="false" ht="15" hidden="false" customHeight="false" outlineLevel="0" collapsed="false">
      <c r="A13" s="4" t="s">
        <v>30</v>
      </c>
      <c r="B13" s="5" t="s">
        <v>18</v>
      </c>
      <c r="C13" s="5" t="s">
        <v>19</v>
      </c>
      <c r="D13" s="6" t="n">
        <v>14.2</v>
      </c>
      <c r="E13" s="7" t="n">
        <v>455</v>
      </c>
      <c r="F13" s="7" t="n">
        <v>2780</v>
      </c>
      <c r="G13" s="8" t="n">
        <f aca="false">F13/4.184</f>
        <v>664.435946462715</v>
      </c>
      <c r="H13" s="7" t="n">
        <v>42.7</v>
      </c>
      <c r="I13" s="9" t="n">
        <f aca="false">E13/D13</f>
        <v>32.0422535211268</v>
      </c>
      <c r="J13" s="8" t="n">
        <f aca="false">F13/D13</f>
        <v>195.774647887324</v>
      </c>
      <c r="K13" s="8" t="n">
        <f aca="false">G13/D13</f>
        <v>46.7912638354025</v>
      </c>
      <c r="L13" s="10" t="n">
        <f aca="false">H13/D13</f>
        <v>3.00704225352113</v>
      </c>
    </row>
    <row r="14" customFormat="false" ht="15" hidden="false" customHeight="false" outlineLevel="0" collapsed="false">
      <c r="A14" s="4" t="s">
        <v>31</v>
      </c>
      <c r="B14" s="5" t="s">
        <v>15</v>
      </c>
      <c r="C14" s="5" t="s">
        <v>29</v>
      </c>
      <c r="D14" s="6" t="n">
        <v>5.7</v>
      </c>
      <c r="E14" s="7" t="n">
        <v>180</v>
      </c>
      <c r="F14" s="7" t="n">
        <v>2250</v>
      </c>
      <c r="G14" s="8" t="n">
        <f aca="false">F14/4.184</f>
        <v>537.762906309751</v>
      </c>
      <c r="H14" s="7" t="n">
        <v>7.9</v>
      </c>
      <c r="I14" s="9" t="n">
        <f aca="false">E14/D14</f>
        <v>31.5789473684211</v>
      </c>
      <c r="J14" s="8" t="n">
        <f aca="false">F14/D14</f>
        <v>394.736842105263</v>
      </c>
      <c r="K14" s="8" t="n">
        <f aca="false">G14/D14</f>
        <v>94.3443695280266</v>
      </c>
      <c r="L14" s="10" t="n">
        <f aca="false">H14/D14</f>
        <v>1.3859649122807</v>
      </c>
    </row>
    <row r="15" customFormat="false" ht="15" hidden="false" customHeight="false" outlineLevel="0" collapsed="false">
      <c r="A15" s="4" t="s">
        <v>32</v>
      </c>
      <c r="B15" s="5" t="s">
        <v>15</v>
      </c>
      <c r="C15" s="5" t="s">
        <v>33</v>
      </c>
      <c r="D15" s="6" t="n">
        <v>7.4</v>
      </c>
      <c r="E15" s="7" t="n">
        <v>232</v>
      </c>
      <c r="F15" s="7" t="n">
        <v>3160</v>
      </c>
      <c r="G15" s="8" t="n">
        <f aca="false">F15/4.184</f>
        <v>755.258126195029</v>
      </c>
      <c r="H15" s="7" t="n">
        <v>9.3</v>
      </c>
      <c r="I15" s="9" t="n">
        <f aca="false">E15/D15</f>
        <v>31.3513513513514</v>
      </c>
      <c r="J15" s="8" t="n">
        <f aca="false">F15/D15</f>
        <v>427.027027027027</v>
      </c>
      <c r="K15" s="8" t="n">
        <f aca="false">G15/D15</f>
        <v>102.061908945274</v>
      </c>
      <c r="L15" s="10" t="n">
        <f aca="false">H15/D15</f>
        <v>1.25675675675676</v>
      </c>
    </row>
    <row r="16" customFormat="false" ht="15" hidden="false" customHeight="false" outlineLevel="0" collapsed="false">
      <c r="A16" s="4" t="s">
        <v>34</v>
      </c>
      <c r="B16" s="5" t="s">
        <v>23</v>
      </c>
      <c r="C16" s="5" t="s">
        <v>25</v>
      </c>
      <c r="D16" s="6" t="n">
        <v>3.5</v>
      </c>
      <c r="E16" s="7" t="n">
        <v>108</v>
      </c>
      <c r="F16" s="7" t="n">
        <v>652</v>
      </c>
      <c r="G16" s="8" t="n">
        <f aca="false">F16/4.184</f>
        <v>155.831739961759</v>
      </c>
      <c r="H16" s="7" t="n">
        <v>2.9</v>
      </c>
      <c r="I16" s="9" t="n">
        <f aca="false">E16/D16</f>
        <v>30.8571428571429</v>
      </c>
      <c r="J16" s="8" t="n">
        <f aca="false">F16/D16</f>
        <v>186.285714285714</v>
      </c>
      <c r="K16" s="8" t="n">
        <f aca="false">G16/D16</f>
        <v>44.5233542747883</v>
      </c>
      <c r="L16" s="10" t="n">
        <f aca="false">H16/D16</f>
        <v>0.828571428571429</v>
      </c>
    </row>
    <row r="17" customFormat="false" ht="15" hidden="false" customHeight="false" outlineLevel="0" collapsed="false">
      <c r="A17" s="4" t="s">
        <v>35</v>
      </c>
      <c r="B17" s="5" t="s">
        <v>36</v>
      </c>
      <c r="C17" s="5" t="s">
        <v>19</v>
      </c>
      <c r="D17" s="6" t="n">
        <v>12</v>
      </c>
      <c r="E17" s="7" t="n">
        <v>370</v>
      </c>
      <c r="F17" s="7" t="n">
        <v>2660</v>
      </c>
      <c r="G17" s="8" t="n">
        <f aca="false">F17/4.184</f>
        <v>635.755258126195</v>
      </c>
      <c r="H17" s="7" t="n">
        <v>30.8</v>
      </c>
      <c r="I17" s="9" t="n">
        <f aca="false">E17/D17</f>
        <v>30.8333333333333</v>
      </c>
      <c r="J17" s="8" t="n">
        <f aca="false">F17/D17</f>
        <v>221.666666666667</v>
      </c>
      <c r="K17" s="8" t="n">
        <f aca="false">G17/D17</f>
        <v>52.9796048438496</v>
      </c>
      <c r="L17" s="10" t="n">
        <f aca="false">H17/D17</f>
        <v>2.56666666666667</v>
      </c>
    </row>
    <row r="18" customFormat="false" ht="15" hidden="false" customHeight="false" outlineLevel="0" collapsed="false">
      <c r="A18" s="4" t="s">
        <v>37</v>
      </c>
      <c r="B18" s="5" t="s">
        <v>18</v>
      </c>
      <c r="C18" s="5" t="s">
        <v>19</v>
      </c>
      <c r="D18" s="6" t="n">
        <v>16.3</v>
      </c>
      <c r="E18" s="7" t="n">
        <v>500</v>
      </c>
      <c r="F18" s="7" t="n">
        <v>4630</v>
      </c>
      <c r="G18" s="8" t="n">
        <f aca="false">F18/4.184</f>
        <v>1106.5965583174</v>
      </c>
      <c r="H18" s="7" t="n">
        <v>52.1</v>
      </c>
      <c r="I18" s="9" t="n">
        <f aca="false">E18/D18</f>
        <v>30.6748466257669</v>
      </c>
      <c r="J18" s="8" t="n">
        <f aca="false">F18/D18</f>
        <v>284.049079754601</v>
      </c>
      <c r="K18" s="8" t="n">
        <f aca="false">G18/D18</f>
        <v>67.8893594059754</v>
      </c>
      <c r="L18" s="10" t="n">
        <f aca="false">H18/D18</f>
        <v>3.19631901840491</v>
      </c>
    </row>
    <row r="19" customFormat="false" ht="15" hidden="false" customHeight="false" outlineLevel="0" collapsed="false">
      <c r="A19" s="4" t="s">
        <v>38</v>
      </c>
      <c r="B19" s="5" t="s">
        <v>18</v>
      </c>
      <c r="C19" s="5" t="s">
        <v>19</v>
      </c>
      <c r="D19" s="6" t="n">
        <v>15.5</v>
      </c>
      <c r="E19" s="7" t="n">
        <v>470</v>
      </c>
      <c r="F19" s="7" t="n">
        <v>4070</v>
      </c>
      <c r="G19" s="8" t="n">
        <f aca="false">F19/4.184</f>
        <v>972.753346080306</v>
      </c>
      <c r="H19" s="7" t="n">
        <v>46.4</v>
      </c>
      <c r="I19" s="9" t="n">
        <f aca="false">E19/D19</f>
        <v>30.3225806451613</v>
      </c>
      <c r="J19" s="8" t="n">
        <f aca="false">F19/D19</f>
        <v>262.58064516129</v>
      </c>
      <c r="K19" s="8" t="n">
        <f aca="false">G19/D19</f>
        <v>62.7582803922778</v>
      </c>
      <c r="L19" s="10" t="n">
        <f aca="false">H19/D19</f>
        <v>2.99354838709677</v>
      </c>
    </row>
    <row r="20" customFormat="false" ht="15" hidden="false" customHeight="false" outlineLevel="0" collapsed="false">
      <c r="A20" s="4" t="s">
        <v>39</v>
      </c>
      <c r="B20" s="5" t="s">
        <v>18</v>
      </c>
      <c r="C20" s="5" t="s">
        <v>19</v>
      </c>
      <c r="D20" s="6" t="n">
        <v>16.3</v>
      </c>
      <c r="E20" s="7" t="n">
        <v>480</v>
      </c>
      <c r="F20" s="7" t="n">
        <v>4270</v>
      </c>
      <c r="G20" s="8" t="n">
        <f aca="false">F20/4.184</f>
        <v>1020.55449330784</v>
      </c>
      <c r="H20" s="7" t="n">
        <v>49.6</v>
      </c>
      <c r="I20" s="9" t="n">
        <f aca="false">E20/D20</f>
        <v>29.4478527607362</v>
      </c>
      <c r="J20" s="8" t="n">
        <f aca="false">F20/D20</f>
        <v>261.963190184049</v>
      </c>
      <c r="K20" s="8" t="n">
        <f aca="false">G20/D20</f>
        <v>62.6107051109104</v>
      </c>
      <c r="L20" s="10" t="n">
        <f aca="false">H20/D20</f>
        <v>3.04294478527607</v>
      </c>
    </row>
    <row r="21" customFormat="false" ht="15" hidden="false" customHeight="false" outlineLevel="0" collapsed="false">
      <c r="A21" s="4" t="s">
        <v>40</v>
      </c>
      <c r="B21" s="5" t="s">
        <v>41</v>
      </c>
      <c r="C21" s="5" t="s">
        <v>42</v>
      </c>
      <c r="D21" s="6" t="n">
        <v>9.9</v>
      </c>
      <c r="E21" s="7" t="n">
        <v>286</v>
      </c>
      <c r="F21" s="7" t="n">
        <v>3260</v>
      </c>
      <c r="G21" s="8" t="n">
        <f aca="false">F21/4.184</f>
        <v>779.158699808795</v>
      </c>
      <c r="H21" s="7" t="n">
        <v>21.2</v>
      </c>
      <c r="I21" s="9" t="n">
        <f aca="false">E21/D21</f>
        <v>28.8888888888889</v>
      </c>
      <c r="J21" s="8" t="n">
        <f aca="false">F21/D21</f>
        <v>329.292929292929</v>
      </c>
      <c r="K21" s="8" t="n">
        <f aca="false">G21/D21</f>
        <v>78.7028989705854</v>
      </c>
      <c r="L21" s="10" t="n">
        <f aca="false">H21/D21</f>
        <v>2.14141414141414</v>
      </c>
    </row>
    <row r="22" customFormat="false" ht="15" hidden="false" customHeight="false" outlineLevel="0" collapsed="false">
      <c r="A22" s="4" t="s">
        <v>43</v>
      </c>
      <c r="B22" s="5" t="s">
        <v>15</v>
      </c>
      <c r="C22" s="5" t="s">
        <v>44</v>
      </c>
      <c r="D22" s="6" t="n">
        <v>10.1</v>
      </c>
      <c r="E22" s="7" t="n">
        <v>280</v>
      </c>
      <c r="F22" s="7" t="n">
        <v>3390</v>
      </c>
      <c r="G22" s="8" t="n">
        <f aca="false">F22/4.184</f>
        <v>810.229445506692</v>
      </c>
      <c r="H22" s="7" t="n">
        <v>24.8</v>
      </c>
      <c r="I22" s="9" t="n">
        <f aca="false">E22/D22</f>
        <v>27.7227722772277</v>
      </c>
      <c r="J22" s="8" t="n">
        <f aca="false">F22/D22</f>
        <v>335.643564356436</v>
      </c>
      <c r="K22" s="8" t="n">
        <f aca="false">G22/D22</f>
        <v>80.2207371788804</v>
      </c>
      <c r="L22" s="10" t="n">
        <f aca="false">H22/D22</f>
        <v>2.45544554455446</v>
      </c>
    </row>
    <row r="23" customFormat="false" ht="15" hidden="false" customHeight="false" outlineLevel="0" collapsed="false">
      <c r="A23" s="4" t="s">
        <v>45</v>
      </c>
      <c r="B23" s="5" t="s">
        <v>23</v>
      </c>
      <c r="C23" s="5"/>
      <c r="D23" s="6" t="n">
        <v>4</v>
      </c>
      <c r="E23" s="7" t="n">
        <v>108</v>
      </c>
      <c r="F23" s="7" t="n">
        <v>1670</v>
      </c>
      <c r="G23" s="8" t="n">
        <f aca="false">F23/4.184</f>
        <v>399.139579349904</v>
      </c>
      <c r="H23" s="7" t="n">
        <v>5.8</v>
      </c>
      <c r="I23" s="9" t="n">
        <f aca="false">E23/D23</f>
        <v>27</v>
      </c>
      <c r="J23" s="8" t="n">
        <f aca="false">F23/D23</f>
        <v>417.5</v>
      </c>
      <c r="K23" s="8" t="n">
        <f aca="false">G23/D23</f>
        <v>99.7848948374761</v>
      </c>
      <c r="L23" s="10" t="n">
        <f aca="false">H23/D23</f>
        <v>1.45</v>
      </c>
    </row>
    <row r="24" customFormat="false" ht="15" hidden="false" customHeight="false" outlineLevel="0" collapsed="false">
      <c r="A24" s="4" t="s">
        <v>46</v>
      </c>
      <c r="B24" s="5" t="s">
        <v>23</v>
      </c>
      <c r="C24" s="5" t="s">
        <v>25</v>
      </c>
      <c r="D24" s="6" t="n">
        <v>6.5</v>
      </c>
      <c r="E24" s="7" t="n">
        <v>175</v>
      </c>
      <c r="F24" s="7" t="n">
        <v>2010</v>
      </c>
      <c r="G24" s="8" t="n">
        <f aca="false">F24/4.184</f>
        <v>480.401529636711</v>
      </c>
      <c r="H24" s="7" t="n">
        <v>6.8</v>
      </c>
      <c r="I24" s="9" t="n">
        <f aca="false">E24/D24</f>
        <v>26.9230769230769</v>
      </c>
      <c r="J24" s="8" t="n">
        <f aca="false">F24/D24</f>
        <v>309.230769230769</v>
      </c>
      <c r="K24" s="8" t="n">
        <f aca="false">G24/D24</f>
        <v>73.9079276364171</v>
      </c>
      <c r="L24" s="10" t="n">
        <f aca="false">H24/D24</f>
        <v>1.04615384615385</v>
      </c>
    </row>
    <row r="25" customFormat="false" ht="15" hidden="false" customHeight="false" outlineLevel="0" collapsed="false">
      <c r="A25" s="4" t="s">
        <v>47</v>
      </c>
      <c r="B25" s="5" t="s">
        <v>36</v>
      </c>
      <c r="C25" s="5" t="s">
        <v>19</v>
      </c>
      <c r="D25" s="6" t="n">
        <v>9.9</v>
      </c>
      <c r="E25" s="7" t="n">
        <v>264</v>
      </c>
      <c r="F25" s="7" t="n">
        <v>1720</v>
      </c>
      <c r="G25" s="8" t="n">
        <f aca="false">F25/4.184</f>
        <v>411.089866156788</v>
      </c>
      <c r="H25" s="7" t="n">
        <v>23.9</v>
      </c>
      <c r="I25" s="9" t="n">
        <f aca="false">E25/D25</f>
        <v>26.6666666666667</v>
      </c>
      <c r="J25" s="8" t="n">
        <f aca="false">F25/D25</f>
        <v>173.737373737374</v>
      </c>
      <c r="K25" s="8" t="n">
        <f aca="false">G25/D25</f>
        <v>41.524228904726</v>
      </c>
      <c r="L25" s="10" t="n">
        <f aca="false">H25/D25</f>
        <v>2.41414141414141</v>
      </c>
    </row>
    <row r="26" customFormat="false" ht="15" hidden="false" customHeight="false" outlineLevel="0" collapsed="false">
      <c r="A26" s="4" t="s">
        <v>48</v>
      </c>
      <c r="B26" s="5" t="s">
        <v>36</v>
      </c>
      <c r="C26" s="5" t="s">
        <v>19</v>
      </c>
      <c r="D26" s="6" t="n">
        <v>9.9</v>
      </c>
      <c r="E26" s="7" t="n">
        <v>260</v>
      </c>
      <c r="F26" s="7" t="n">
        <v>1900</v>
      </c>
      <c r="G26" s="8" t="n">
        <f aca="false">F26/4.184</f>
        <v>454.110898661568</v>
      </c>
      <c r="H26" s="7" t="n">
        <v>26.1</v>
      </c>
      <c r="I26" s="9" t="n">
        <f aca="false">E26/D26</f>
        <v>26.2626262626263</v>
      </c>
      <c r="J26" s="8" t="n">
        <f aca="false">F26/D26</f>
        <v>191.919191919192</v>
      </c>
      <c r="K26" s="8" t="n">
        <f aca="false">G26/D26</f>
        <v>45.8697877435927</v>
      </c>
      <c r="L26" s="10" t="n">
        <f aca="false">H26/D26</f>
        <v>2.63636363636364</v>
      </c>
    </row>
    <row r="27" customFormat="false" ht="15" hidden="false" customHeight="false" outlineLevel="0" collapsed="false">
      <c r="A27" s="4" t="s">
        <v>49</v>
      </c>
      <c r="B27" s="5" t="s">
        <v>36</v>
      </c>
      <c r="C27" s="5" t="s">
        <v>19</v>
      </c>
      <c r="D27" s="6" t="n">
        <v>11.2</v>
      </c>
      <c r="E27" s="7" t="n">
        <v>284</v>
      </c>
      <c r="F27" s="7" t="n">
        <v>2550</v>
      </c>
      <c r="G27" s="8" t="n">
        <f aca="false">F27/4.184</f>
        <v>609.464627151052</v>
      </c>
      <c r="H27" s="7" t="n">
        <v>27.2</v>
      </c>
      <c r="I27" s="9" t="n">
        <f aca="false">E27/D27</f>
        <v>25.3571428571429</v>
      </c>
      <c r="J27" s="8" t="n">
        <f aca="false">F27/D27</f>
        <v>227.678571428571</v>
      </c>
      <c r="K27" s="8" t="n">
        <f aca="false">G27/D27</f>
        <v>54.4164845670582</v>
      </c>
      <c r="L27" s="10" t="n">
        <f aca="false">H27/D27</f>
        <v>2.42857142857143</v>
      </c>
    </row>
    <row r="28" customFormat="false" ht="15" hidden="false" customHeight="false" outlineLevel="0" collapsed="false">
      <c r="A28" s="4" t="s">
        <v>50</v>
      </c>
      <c r="B28" s="5" t="s">
        <v>36</v>
      </c>
      <c r="C28" s="5" t="s">
        <v>19</v>
      </c>
      <c r="D28" s="6" t="n">
        <v>11</v>
      </c>
      <c r="E28" s="7" t="n">
        <v>275</v>
      </c>
      <c r="F28" s="7" t="n">
        <v>2560</v>
      </c>
      <c r="G28" s="8" t="n">
        <f aca="false">F28/4.184</f>
        <v>611.854684512428</v>
      </c>
      <c r="H28" s="7" t="n">
        <v>26.6</v>
      </c>
      <c r="I28" s="9" t="n">
        <f aca="false">E28/D28</f>
        <v>25</v>
      </c>
      <c r="J28" s="8" t="n">
        <f aca="false">F28/D28</f>
        <v>232.727272727273</v>
      </c>
      <c r="K28" s="8" t="n">
        <f aca="false">G28/D28</f>
        <v>55.6231531374935</v>
      </c>
      <c r="L28" s="10" t="n">
        <f aca="false">H28/D28</f>
        <v>2.41818181818182</v>
      </c>
    </row>
    <row r="29" customFormat="false" ht="15" hidden="false" customHeight="false" outlineLevel="0" collapsed="false">
      <c r="A29" s="4" t="s">
        <v>51</v>
      </c>
      <c r="B29" s="5" t="s">
        <v>52</v>
      </c>
      <c r="C29" s="5" t="s">
        <v>53</v>
      </c>
      <c r="D29" s="6" t="n">
        <v>9.5</v>
      </c>
      <c r="E29" s="7" t="n">
        <v>235</v>
      </c>
      <c r="F29" s="7" t="n">
        <v>2490</v>
      </c>
      <c r="G29" s="8" t="n">
        <f aca="false">F29/4.184</f>
        <v>595.124282982792</v>
      </c>
      <c r="H29" s="7" t="n">
        <v>27</v>
      </c>
      <c r="I29" s="9" t="n">
        <f aca="false">E29/D29</f>
        <v>24.7368421052632</v>
      </c>
      <c r="J29" s="8" t="n">
        <f aca="false">F29/D29</f>
        <v>262.105263157895</v>
      </c>
      <c r="K29" s="8" t="n">
        <f aca="false">G29/D29</f>
        <v>62.6446613666096</v>
      </c>
      <c r="L29" s="10" t="n">
        <f aca="false">H29/D29</f>
        <v>2.84210526315789</v>
      </c>
    </row>
    <row r="30" customFormat="false" ht="15" hidden="false" customHeight="false" outlineLevel="0" collapsed="false">
      <c r="A30" s="4" t="s">
        <v>54</v>
      </c>
      <c r="B30" s="5" t="s">
        <v>55</v>
      </c>
      <c r="C30" s="5" t="s">
        <v>56</v>
      </c>
      <c r="D30" s="6" t="n">
        <v>3</v>
      </c>
      <c r="E30" s="7" t="n">
        <v>74</v>
      </c>
      <c r="F30" s="7" t="n">
        <v>693</v>
      </c>
      <c r="G30" s="8" t="n">
        <f aca="false">F30/4.184</f>
        <v>165.630975143403</v>
      </c>
      <c r="H30" s="7" t="n">
        <v>7.6</v>
      </c>
      <c r="I30" s="9" t="n">
        <f aca="false">E30/D30</f>
        <v>24.6666666666667</v>
      </c>
      <c r="J30" s="8" t="n">
        <f aca="false">F30/D30</f>
        <v>231</v>
      </c>
      <c r="K30" s="8" t="n">
        <f aca="false">G30/D30</f>
        <v>55.2103250478012</v>
      </c>
      <c r="L30" s="10" t="n">
        <f aca="false">H30/D30</f>
        <v>2.53333333333333</v>
      </c>
    </row>
    <row r="31" customFormat="false" ht="15" hidden="false" customHeight="false" outlineLevel="0" collapsed="false">
      <c r="A31" s="4" t="s">
        <v>57</v>
      </c>
      <c r="B31" s="5" t="s">
        <v>15</v>
      </c>
      <c r="C31" s="5" t="s">
        <v>58</v>
      </c>
      <c r="D31" s="6" t="n">
        <v>7.4</v>
      </c>
      <c r="E31" s="7" t="n">
        <v>180</v>
      </c>
      <c r="F31" s="7" t="n">
        <v>2710</v>
      </c>
      <c r="G31" s="8" t="n">
        <f aca="false">F31/4.184</f>
        <v>647.705544933078</v>
      </c>
      <c r="H31" s="7" t="n">
        <v>14.9</v>
      </c>
      <c r="I31" s="9" t="n">
        <f aca="false">E31/D31</f>
        <v>24.3243243243243</v>
      </c>
      <c r="J31" s="8" t="n">
        <f aca="false">F31/D31</f>
        <v>366.216216216216</v>
      </c>
      <c r="K31" s="8" t="n">
        <f aca="false">G31/D31</f>
        <v>87.5277763423079</v>
      </c>
      <c r="L31" s="10" t="n">
        <f aca="false">H31/D31</f>
        <v>2.01351351351351</v>
      </c>
    </row>
    <row r="32" customFormat="false" ht="15" hidden="false" customHeight="false" outlineLevel="0" collapsed="false">
      <c r="A32" s="4" t="s">
        <v>59</v>
      </c>
      <c r="B32" s="5" t="s">
        <v>55</v>
      </c>
      <c r="C32" s="5" t="s">
        <v>19</v>
      </c>
      <c r="D32" s="6" t="n">
        <v>15.8</v>
      </c>
      <c r="E32" s="7" t="n">
        <v>354</v>
      </c>
      <c r="F32" s="7" t="n">
        <v>2439</v>
      </c>
      <c r="G32" s="8" t="n">
        <f aca="false">F32/4.184</f>
        <v>582.934990439771</v>
      </c>
      <c r="H32" s="7" t="n">
        <v>45.9</v>
      </c>
      <c r="I32" s="9" t="n">
        <f aca="false">E32/D32</f>
        <v>22.4050632911392</v>
      </c>
      <c r="J32" s="8" t="n">
        <f aca="false">F32/D32</f>
        <v>154.367088607595</v>
      </c>
      <c r="K32" s="8" t="n">
        <f aca="false">G32/D32</f>
        <v>36.8946196480867</v>
      </c>
      <c r="L32" s="10" t="n">
        <f aca="false">H32/D32</f>
        <v>2.90506329113924</v>
      </c>
    </row>
    <row r="33" customFormat="false" ht="15" hidden="false" customHeight="false" outlineLevel="0" collapsed="false">
      <c r="A33" s="4" t="s">
        <v>60</v>
      </c>
      <c r="B33" s="5" t="s">
        <v>36</v>
      </c>
      <c r="C33" s="5" t="s">
        <v>19</v>
      </c>
      <c r="D33" s="6" t="n">
        <v>11.2</v>
      </c>
      <c r="E33" s="7" t="n">
        <v>250</v>
      </c>
      <c r="F33" s="7" t="n">
        <v>2320</v>
      </c>
      <c r="G33" s="8" t="n">
        <f aca="false">F33/4.184</f>
        <v>554.493307839388</v>
      </c>
      <c r="H33" s="7" t="n">
        <v>26.1</v>
      </c>
      <c r="I33" s="9" t="n">
        <f aca="false">E33/D33</f>
        <v>22.3214285714286</v>
      </c>
      <c r="J33" s="8" t="n">
        <f aca="false">F33/D33</f>
        <v>207.142857142857</v>
      </c>
      <c r="K33" s="8" t="n">
        <f aca="false">G33/D33</f>
        <v>49.5083310570882</v>
      </c>
      <c r="L33" s="10" t="n">
        <f aca="false">H33/D33</f>
        <v>2.33035714285714</v>
      </c>
    </row>
    <row r="34" customFormat="false" ht="15" hidden="false" customHeight="false" outlineLevel="0" collapsed="false">
      <c r="A34" s="4" t="s">
        <v>61</v>
      </c>
      <c r="B34" s="5" t="s">
        <v>18</v>
      </c>
      <c r="C34" s="5" t="s">
        <v>19</v>
      </c>
      <c r="D34" s="6" t="n">
        <v>11.4</v>
      </c>
      <c r="E34" s="7" t="n">
        <v>241</v>
      </c>
      <c r="F34" s="7" t="n">
        <v>2240</v>
      </c>
      <c r="G34" s="8" t="n">
        <f aca="false">F34/4.184</f>
        <v>535.372848948375</v>
      </c>
      <c r="H34" s="7" t="n">
        <v>31.4</v>
      </c>
      <c r="I34" s="9" t="n">
        <f aca="false">E34/D34</f>
        <v>21.140350877193</v>
      </c>
      <c r="J34" s="8" t="n">
        <f aca="false">F34/D34</f>
        <v>196.491228070175</v>
      </c>
      <c r="K34" s="8" t="n">
        <f aca="false">G34/D34</f>
        <v>46.9625306095066</v>
      </c>
      <c r="L34" s="10" t="n">
        <f aca="false">H34/D34</f>
        <v>2.75438596491228</v>
      </c>
    </row>
    <row r="35" customFormat="false" ht="15" hidden="false" customHeight="false" outlineLevel="0" collapsed="false">
      <c r="A35" s="4" t="s">
        <v>62</v>
      </c>
      <c r="B35" s="5" t="s">
        <v>55</v>
      </c>
      <c r="C35" s="5" t="s">
        <v>19</v>
      </c>
      <c r="D35" s="6" t="n">
        <v>5.6</v>
      </c>
      <c r="E35" s="7" t="n">
        <v>118</v>
      </c>
      <c r="F35" s="7" t="n">
        <v>813</v>
      </c>
      <c r="G35" s="8" t="n">
        <f aca="false">F35/4.184</f>
        <v>194.311663479924</v>
      </c>
      <c r="H35" s="7" t="n">
        <v>15.3</v>
      </c>
      <c r="I35" s="9" t="n">
        <f aca="false">E35/D35</f>
        <v>21.0714285714286</v>
      </c>
      <c r="J35" s="8" t="n">
        <f aca="false">F35/D35</f>
        <v>145.178571428571</v>
      </c>
      <c r="K35" s="8" t="n">
        <f aca="false">G35/D35</f>
        <v>34.6985113357006</v>
      </c>
      <c r="L35" s="10" t="n">
        <f aca="false">H35/D35</f>
        <v>2.73214285714286</v>
      </c>
    </row>
    <row r="36" customFormat="false" ht="15" hidden="false" customHeight="false" outlineLevel="0" collapsed="false">
      <c r="A36" s="4" t="s">
        <v>63</v>
      </c>
      <c r="B36" s="5" t="s">
        <v>55</v>
      </c>
      <c r="C36" s="5" t="s">
        <v>64</v>
      </c>
      <c r="D36" s="6" t="n">
        <v>5.6</v>
      </c>
      <c r="E36" s="7" t="n">
        <v>118</v>
      </c>
      <c r="F36" s="7" t="n">
        <v>1090</v>
      </c>
      <c r="G36" s="8" t="n">
        <f aca="false">F36/4.184</f>
        <v>260.516252390057</v>
      </c>
      <c r="H36" s="7" t="n">
        <v>7.3</v>
      </c>
      <c r="I36" s="9" t="n">
        <f aca="false">E36/D36</f>
        <v>21.0714285714286</v>
      </c>
      <c r="J36" s="8" t="n">
        <f aca="false">F36/D36</f>
        <v>194.642857142857</v>
      </c>
      <c r="K36" s="8" t="n">
        <f aca="false">G36/D36</f>
        <v>46.5207593553674</v>
      </c>
      <c r="L36" s="10" t="n">
        <f aca="false">H36/D36</f>
        <v>1.30357142857143</v>
      </c>
    </row>
    <row r="37" customFormat="false" ht="15" hidden="false" customHeight="false" outlineLevel="0" collapsed="false">
      <c r="A37" s="4" t="s">
        <v>65</v>
      </c>
      <c r="B37" s="5" t="s">
        <v>18</v>
      </c>
      <c r="C37" s="5" t="s">
        <v>66</v>
      </c>
      <c r="D37" s="6" t="n">
        <v>14.5</v>
      </c>
      <c r="E37" s="7" t="n">
        <v>284</v>
      </c>
      <c r="F37" s="7" t="n">
        <v>1280</v>
      </c>
      <c r="G37" s="8" t="n">
        <f aca="false">F37/4.184</f>
        <v>305.927342256214</v>
      </c>
      <c r="H37" s="7" t="n">
        <v>27.4</v>
      </c>
      <c r="I37" s="9" t="n">
        <f aca="false">E37/D37</f>
        <v>19.5862068965517</v>
      </c>
      <c r="J37" s="8" t="n">
        <f aca="false">F37/D37</f>
        <v>88.2758620689655</v>
      </c>
      <c r="K37" s="8" t="n">
        <f aca="false">G37/D37</f>
        <v>21.0984373969803</v>
      </c>
      <c r="L37" s="10" t="n">
        <f aca="false">H37/D37</f>
        <v>1.88965517241379</v>
      </c>
    </row>
    <row r="38" customFormat="false" ht="15" hidden="false" customHeight="false" outlineLevel="0" collapsed="false">
      <c r="A38" s="4" t="s">
        <v>67</v>
      </c>
      <c r="B38" s="5" t="s">
        <v>55</v>
      </c>
      <c r="C38" s="5" t="s">
        <v>19</v>
      </c>
      <c r="D38" s="6" t="n">
        <v>5.6</v>
      </c>
      <c r="E38" s="7" t="n">
        <v>109</v>
      </c>
      <c r="F38" s="7" t="n">
        <v>806</v>
      </c>
      <c r="G38" s="8" t="n">
        <f aca="false">F38/4.184</f>
        <v>192.63862332696</v>
      </c>
      <c r="H38" s="7" t="n">
        <v>14.5</v>
      </c>
      <c r="I38" s="9" t="n">
        <f aca="false">E38/D38</f>
        <v>19.4642857142857</v>
      </c>
      <c r="J38" s="8" t="n">
        <f aca="false">F38/D38</f>
        <v>143.928571428571</v>
      </c>
      <c r="K38" s="8" t="n">
        <f aca="false">G38/D38</f>
        <v>34.3997541655286</v>
      </c>
      <c r="L38" s="10" t="n">
        <f aca="false">H38/D38</f>
        <v>2.58928571428571</v>
      </c>
    </row>
    <row r="39" customFormat="false" ht="15" hidden="false" customHeight="false" outlineLevel="0" collapsed="false">
      <c r="A39" s="4" t="s">
        <v>68</v>
      </c>
      <c r="B39" s="5" t="s">
        <v>55</v>
      </c>
      <c r="C39" s="5" t="s">
        <v>69</v>
      </c>
      <c r="D39" s="6" t="n">
        <v>15.8</v>
      </c>
      <c r="E39" s="7" t="n">
        <v>297</v>
      </c>
      <c r="F39" s="7" t="n">
        <v>3480</v>
      </c>
      <c r="G39" s="8" t="n">
        <f aca="false">F39/4.184</f>
        <v>831.739961759082</v>
      </c>
      <c r="H39" s="7" t="n">
        <v>34.8</v>
      </c>
      <c r="I39" s="9" t="n">
        <f aca="false">E39/D39</f>
        <v>18.7974683544304</v>
      </c>
      <c r="J39" s="8" t="n">
        <f aca="false">F39/D39</f>
        <v>220.253164556962</v>
      </c>
      <c r="K39" s="8" t="n">
        <f aca="false">G39/D39</f>
        <v>52.6417697315875</v>
      </c>
      <c r="L39" s="10" t="n">
        <f aca="false">H39/D39</f>
        <v>2.20253164556962</v>
      </c>
    </row>
    <row r="40" customFormat="false" ht="15" hidden="false" customHeight="false" outlineLevel="0" collapsed="false">
      <c r="A40" s="4" t="s">
        <v>70</v>
      </c>
      <c r="B40" s="5" t="s">
        <v>55</v>
      </c>
      <c r="C40" s="5" t="s">
        <v>69</v>
      </c>
      <c r="D40" s="6" t="n">
        <v>5.6</v>
      </c>
      <c r="E40" s="7" t="n">
        <v>99</v>
      </c>
      <c r="F40" s="7" t="n">
        <v>1160</v>
      </c>
      <c r="G40" s="8" t="n">
        <f aca="false">F40/4.184</f>
        <v>277.246653919694</v>
      </c>
      <c r="H40" s="7" t="n">
        <v>11.6</v>
      </c>
      <c r="I40" s="9" t="n">
        <f aca="false">E40/D40</f>
        <v>17.6785714285714</v>
      </c>
      <c r="J40" s="8" t="n">
        <f aca="false">F40/D40</f>
        <v>207.142857142857</v>
      </c>
      <c r="K40" s="8" t="n">
        <f aca="false">G40/D40</f>
        <v>49.5083310570882</v>
      </c>
      <c r="L40" s="10" t="n">
        <f aca="false">H40/D40</f>
        <v>2.07142857142857</v>
      </c>
    </row>
    <row r="41" customFormat="false" ht="15" hidden="false" customHeight="false" outlineLevel="0" collapsed="false">
      <c r="A41" s="4" t="s">
        <v>71</v>
      </c>
      <c r="B41" s="5" t="s">
        <v>36</v>
      </c>
      <c r="C41" s="5" t="s">
        <v>66</v>
      </c>
      <c r="D41" s="6" t="n">
        <v>10.5</v>
      </c>
      <c r="E41" s="7" t="n">
        <v>152</v>
      </c>
      <c r="F41" s="7" t="n">
        <v>648</v>
      </c>
      <c r="G41" s="8" t="n">
        <f aca="false">F41/4.184</f>
        <v>154.875717017208</v>
      </c>
      <c r="H41" s="7" t="n">
        <v>13.8</v>
      </c>
      <c r="I41" s="9" t="n">
        <f aca="false">E41/D41</f>
        <v>14.4761904761905</v>
      </c>
      <c r="J41" s="8" t="n">
        <f aca="false">F41/D41</f>
        <v>61.7142857142857</v>
      </c>
      <c r="K41" s="8" t="n">
        <f aca="false">G41/D41</f>
        <v>14.7500682873532</v>
      </c>
      <c r="L41" s="10" t="n">
        <f aca="false">H41/D41</f>
        <v>1.31428571428571</v>
      </c>
    </row>
    <row r="42" customFormat="false" ht="15" hidden="false" customHeight="false" outlineLevel="0" collapsed="false">
      <c r="A42" s="4" t="s">
        <v>72</v>
      </c>
      <c r="B42" s="5" t="s">
        <v>41</v>
      </c>
      <c r="C42" s="5" t="s">
        <v>42</v>
      </c>
      <c r="D42" s="6" t="n">
        <v>7.6</v>
      </c>
      <c r="E42" s="7" t="n">
        <v>106</v>
      </c>
      <c r="F42" s="7" t="n">
        <v>1010</v>
      </c>
      <c r="G42" s="8" t="n">
        <f aca="false">F42/4.184</f>
        <v>241.395793499044</v>
      </c>
      <c r="H42" s="7" t="n">
        <v>13.3</v>
      </c>
      <c r="I42" s="9" t="n">
        <f aca="false">E42/D42</f>
        <v>13.9473684210526</v>
      </c>
      <c r="J42" s="8" t="n">
        <f aca="false">F42/D42</f>
        <v>132.894736842105</v>
      </c>
      <c r="K42" s="8" t="n">
        <f aca="false">G42/D42</f>
        <v>31.7626044077689</v>
      </c>
      <c r="L42" s="10" t="n">
        <f aca="false">H42/D42</f>
        <v>1.75</v>
      </c>
    </row>
    <row r="43" customFormat="false" ht="15" hidden="false" customHeight="false" outlineLevel="0" collapsed="false">
      <c r="A43" s="4" t="s">
        <v>73</v>
      </c>
      <c r="B43" s="5" t="s">
        <v>41</v>
      </c>
      <c r="C43" s="5" t="s">
        <v>42</v>
      </c>
      <c r="D43" s="6" t="n">
        <v>11.1</v>
      </c>
      <c r="E43" s="7" t="n">
        <v>147</v>
      </c>
      <c r="F43" s="7" t="n">
        <v>1420</v>
      </c>
      <c r="G43" s="8" t="n">
        <f aca="false">F43/4.184</f>
        <v>339.388145315488</v>
      </c>
      <c r="H43" s="7" t="n">
        <v>19.8</v>
      </c>
      <c r="I43" s="9" t="n">
        <f aca="false">E43/D43</f>
        <v>13.2432432432432</v>
      </c>
      <c r="J43" s="8" t="n">
        <f aca="false">F43/D43</f>
        <v>127.927927927928</v>
      </c>
      <c r="K43" s="8" t="n">
        <f aca="false">G43/D43</f>
        <v>30.5755085869809</v>
      </c>
      <c r="L43" s="10" t="n">
        <f aca="false">H43/D43</f>
        <v>1.78378378378378</v>
      </c>
    </row>
    <row r="44" customFormat="false" ht="15" hidden="false" customHeight="false" outlineLevel="0" collapsed="false">
      <c r="A44" s="4" t="s">
        <v>74</v>
      </c>
      <c r="B44" s="5" t="s">
        <v>18</v>
      </c>
      <c r="C44" s="5" t="s">
        <v>75</v>
      </c>
      <c r="D44" s="6" t="n">
        <v>9.3</v>
      </c>
      <c r="E44" s="7" t="n">
        <v>110</v>
      </c>
      <c r="F44" s="7" t="n">
        <v>1580</v>
      </c>
      <c r="G44" s="8" t="n">
        <f aca="false">F44/4.184</f>
        <v>377.629063097514</v>
      </c>
      <c r="H44" s="7" t="n">
        <v>17.6</v>
      </c>
      <c r="I44" s="9" t="n">
        <f aca="false">E44/D44</f>
        <v>11.8279569892473</v>
      </c>
      <c r="J44" s="8" t="n">
        <f aca="false">F44/D44</f>
        <v>169.89247311828</v>
      </c>
      <c r="K44" s="8" t="n">
        <f aca="false">G44/D44</f>
        <v>40.6052756018833</v>
      </c>
      <c r="L44" s="10" t="n">
        <f aca="false">H44/D44</f>
        <v>1.89247311827957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"/>
    <col collapsed="false" customWidth="true" hidden="false" outlineLevel="0" max="3" min="3" style="0" width="34"/>
    <col collapsed="false" customWidth="true" hidden="false" outlineLevel="0" max="4" min="4" style="0" width="10"/>
    <col collapsed="false" customWidth="true" hidden="false" outlineLevel="0" max="5" min="5" style="0" width="9"/>
    <col collapsed="false" customWidth="true" hidden="false" outlineLevel="0" max="7" min="6" style="0" width="11"/>
    <col collapsed="false" customWidth="true" hidden="false" outlineLevel="0" max="9" min="8" style="0" width="10"/>
    <col collapsed="false" customWidth="true" hidden="false" outlineLevel="0" max="11" min="10" style="0" width="8"/>
    <col collapsed="false" customWidth="true" hidden="false" outlineLevel="0" max="12" min="12" style="0" width="12"/>
  </cols>
  <sheetData>
    <row r="1" customFormat="false" ht="19.7" hidden="false" customHeight="false" outlineLevel="0" collapsed="false">
      <c r="A1" s="1" t="s">
        <v>76</v>
      </c>
    </row>
    <row r="2" customFormat="false" ht="15" hidden="false" customHeight="false" outlineLevel="0" collapsed="false">
      <c r="A2" s="2" t="s">
        <v>77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</row>
    <row r="5" customFormat="false" ht="15" hidden="false" customHeight="false" outlineLevel="0" collapsed="false">
      <c r="A5" s="4" t="s">
        <v>14</v>
      </c>
      <c r="B5" s="5" t="s">
        <v>15</v>
      </c>
      <c r="C5" s="5" t="s">
        <v>16</v>
      </c>
      <c r="D5" s="6" t="n">
        <v>6.7</v>
      </c>
      <c r="E5" s="7" t="n">
        <v>330</v>
      </c>
      <c r="F5" s="7" t="n">
        <v>3080</v>
      </c>
      <c r="G5" s="8" t="n">
        <f aca="false">F5/4.184</f>
        <v>736.137667304015</v>
      </c>
      <c r="H5" s="7" t="n">
        <v>20.1</v>
      </c>
      <c r="I5" s="9" t="n">
        <f aca="false">E5/D5</f>
        <v>49.2537313432836</v>
      </c>
      <c r="J5" s="8" t="n">
        <f aca="false">F5/D5</f>
        <v>459.701492537313</v>
      </c>
      <c r="K5" s="8" t="n">
        <f aca="false">G5/D5</f>
        <v>109.871293627465</v>
      </c>
      <c r="L5" s="10" t="n">
        <f aca="false">H5/D5</f>
        <v>3</v>
      </c>
    </row>
    <row r="6" customFormat="false" ht="15" hidden="false" customHeight="false" outlineLevel="0" collapsed="false">
      <c r="A6" s="4" t="s">
        <v>32</v>
      </c>
      <c r="B6" s="5" t="s">
        <v>15</v>
      </c>
      <c r="C6" s="5" t="s">
        <v>33</v>
      </c>
      <c r="D6" s="6" t="n">
        <v>7.4</v>
      </c>
      <c r="E6" s="7" t="n">
        <v>232</v>
      </c>
      <c r="F6" s="7" t="n">
        <v>3160</v>
      </c>
      <c r="G6" s="8" t="n">
        <f aca="false">F6/4.184</f>
        <v>755.258126195029</v>
      </c>
      <c r="H6" s="7" t="n">
        <v>9.3</v>
      </c>
      <c r="I6" s="9" t="n">
        <f aca="false">E6/D6</f>
        <v>31.3513513513514</v>
      </c>
      <c r="J6" s="8" t="n">
        <f aca="false">F6/D6</f>
        <v>427.027027027027</v>
      </c>
      <c r="K6" s="8" t="n">
        <f aca="false">G6/D6</f>
        <v>102.061908945274</v>
      </c>
      <c r="L6" s="10" t="n">
        <f aca="false">H6/D6</f>
        <v>1.25675675675676</v>
      </c>
    </row>
    <row r="7" customFormat="false" ht="15" hidden="false" customHeight="false" outlineLevel="0" collapsed="false">
      <c r="A7" s="4" t="s">
        <v>20</v>
      </c>
      <c r="B7" s="5" t="s">
        <v>15</v>
      </c>
      <c r="C7" s="5" t="s">
        <v>21</v>
      </c>
      <c r="D7" s="6" t="n">
        <v>10.1</v>
      </c>
      <c r="E7" s="7" t="n">
        <v>385</v>
      </c>
      <c r="F7" s="7" t="n">
        <v>4310</v>
      </c>
      <c r="G7" s="8" t="n">
        <f aca="false">F7/4.184</f>
        <v>1030.11472275335</v>
      </c>
      <c r="H7" s="7" t="n">
        <v>12</v>
      </c>
      <c r="I7" s="9" t="n">
        <f aca="false">E7/D7</f>
        <v>38.1188118811881</v>
      </c>
      <c r="J7" s="8" t="n">
        <f aca="false">F7/D7</f>
        <v>426.732673267327</v>
      </c>
      <c r="K7" s="8" t="n">
        <f aca="false">G7/D7</f>
        <v>101.991556708252</v>
      </c>
      <c r="L7" s="10" t="n">
        <f aca="false">H7/D7</f>
        <v>1.18811881188119</v>
      </c>
    </row>
    <row r="8" customFormat="false" ht="15" hidden="false" customHeight="false" outlineLevel="0" collapsed="false">
      <c r="A8" s="4" t="s">
        <v>45</v>
      </c>
      <c r="B8" s="5" t="s">
        <v>23</v>
      </c>
      <c r="C8" s="5"/>
      <c r="D8" s="6" t="n">
        <v>4</v>
      </c>
      <c r="E8" s="7" t="n">
        <v>108</v>
      </c>
      <c r="F8" s="7" t="n">
        <v>1670</v>
      </c>
      <c r="G8" s="8" t="n">
        <f aca="false">F8/4.184</f>
        <v>399.139579349904</v>
      </c>
      <c r="H8" s="7" t="n">
        <v>5.8</v>
      </c>
      <c r="I8" s="9" t="n">
        <f aca="false">E8/D8</f>
        <v>27</v>
      </c>
      <c r="J8" s="8" t="n">
        <f aca="false">F8/D8</f>
        <v>417.5</v>
      </c>
      <c r="K8" s="8" t="n">
        <f aca="false">G8/D8</f>
        <v>99.7848948374761</v>
      </c>
      <c r="L8" s="10" t="n">
        <f aca="false">H8/D8</f>
        <v>1.45</v>
      </c>
    </row>
    <row r="9" customFormat="false" ht="15" hidden="false" customHeight="false" outlineLevel="0" collapsed="false">
      <c r="A9" s="4" t="s">
        <v>28</v>
      </c>
      <c r="B9" s="5" t="s">
        <v>15</v>
      </c>
      <c r="C9" s="5" t="s">
        <v>29</v>
      </c>
      <c r="D9" s="6" t="n">
        <v>3.7</v>
      </c>
      <c r="E9" s="7" t="n">
        <v>120</v>
      </c>
      <c r="F9" s="7" t="n">
        <v>1500</v>
      </c>
      <c r="G9" s="8" t="n">
        <f aca="false">F9/4.184</f>
        <v>358.508604206501</v>
      </c>
      <c r="H9" s="7" t="n">
        <v>5.3</v>
      </c>
      <c r="I9" s="9" t="n">
        <f aca="false">E9/D9</f>
        <v>32.4324324324324</v>
      </c>
      <c r="J9" s="8" t="n">
        <f aca="false">F9/D9</f>
        <v>405.405405405405</v>
      </c>
      <c r="K9" s="8" t="n">
        <f aca="false">G9/D9</f>
        <v>96.8942173531084</v>
      </c>
      <c r="L9" s="10" t="n">
        <f aca="false">H9/D9</f>
        <v>1.43243243243243</v>
      </c>
    </row>
    <row r="10" customFormat="false" ht="15" hidden="false" customHeight="false" outlineLevel="0" collapsed="false">
      <c r="A10" s="4" t="s">
        <v>31</v>
      </c>
      <c r="B10" s="5" t="s">
        <v>15</v>
      </c>
      <c r="C10" s="5" t="s">
        <v>29</v>
      </c>
      <c r="D10" s="6" t="n">
        <v>5.7</v>
      </c>
      <c r="E10" s="7" t="n">
        <v>180</v>
      </c>
      <c r="F10" s="7" t="n">
        <v>2250</v>
      </c>
      <c r="G10" s="8" t="n">
        <f aca="false">F10/4.184</f>
        <v>537.762906309751</v>
      </c>
      <c r="H10" s="7" t="n">
        <v>7.9</v>
      </c>
      <c r="I10" s="9" t="n">
        <f aca="false">E10/D10</f>
        <v>31.5789473684211</v>
      </c>
      <c r="J10" s="8" t="n">
        <f aca="false">F10/D10</f>
        <v>394.736842105263</v>
      </c>
      <c r="K10" s="8" t="n">
        <f aca="false">G10/D10</f>
        <v>94.3443695280266</v>
      </c>
      <c r="L10" s="10" t="n">
        <f aca="false">H10/D10</f>
        <v>1.3859649122807</v>
      </c>
    </row>
    <row r="11" customFormat="false" ht="15" hidden="false" customHeight="false" outlineLevel="0" collapsed="false">
      <c r="A11" s="4" t="s">
        <v>57</v>
      </c>
      <c r="B11" s="5" t="s">
        <v>15</v>
      </c>
      <c r="C11" s="5" t="s">
        <v>58</v>
      </c>
      <c r="D11" s="6" t="n">
        <v>7.4</v>
      </c>
      <c r="E11" s="7" t="n">
        <v>180</v>
      </c>
      <c r="F11" s="7" t="n">
        <v>2710</v>
      </c>
      <c r="G11" s="8" t="n">
        <f aca="false">F11/4.184</f>
        <v>647.705544933078</v>
      </c>
      <c r="H11" s="7" t="n">
        <v>14.9</v>
      </c>
      <c r="I11" s="9" t="n">
        <f aca="false">E11/D11</f>
        <v>24.3243243243243</v>
      </c>
      <c r="J11" s="8" t="n">
        <f aca="false">F11/D11</f>
        <v>366.216216216216</v>
      </c>
      <c r="K11" s="8" t="n">
        <f aca="false">G11/D11</f>
        <v>87.5277763423079</v>
      </c>
      <c r="L11" s="10" t="n">
        <f aca="false">H11/D11</f>
        <v>2.01351351351351</v>
      </c>
    </row>
    <row r="12" customFormat="false" ht="15" hidden="false" customHeight="false" outlineLevel="0" collapsed="false">
      <c r="A12" s="4" t="s">
        <v>43</v>
      </c>
      <c r="B12" s="5" t="s">
        <v>15</v>
      </c>
      <c r="C12" s="5" t="s">
        <v>44</v>
      </c>
      <c r="D12" s="6" t="n">
        <v>10.1</v>
      </c>
      <c r="E12" s="7" t="n">
        <v>280</v>
      </c>
      <c r="F12" s="7" t="n">
        <v>3390</v>
      </c>
      <c r="G12" s="8" t="n">
        <f aca="false">F12/4.184</f>
        <v>810.229445506692</v>
      </c>
      <c r="H12" s="7" t="n">
        <v>24.8</v>
      </c>
      <c r="I12" s="9" t="n">
        <f aca="false">E12/D12</f>
        <v>27.7227722772277</v>
      </c>
      <c r="J12" s="8" t="n">
        <f aca="false">F12/D12</f>
        <v>335.643564356436</v>
      </c>
      <c r="K12" s="8" t="n">
        <f aca="false">G12/D12</f>
        <v>80.2207371788804</v>
      </c>
      <c r="L12" s="10" t="n">
        <f aca="false">H12/D12</f>
        <v>2.45544554455446</v>
      </c>
    </row>
    <row r="13" customFormat="false" ht="15" hidden="false" customHeight="false" outlineLevel="0" collapsed="false">
      <c r="A13" s="4" t="s">
        <v>40</v>
      </c>
      <c r="B13" s="5" t="s">
        <v>41</v>
      </c>
      <c r="C13" s="5" t="s">
        <v>42</v>
      </c>
      <c r="D13" s="6" t="n">
        <v>9.9</v>
      </c>
      <c r="E13" s="7" t="n">
        <v>286</v>
      </c>
      <c r="F13" s="7" t="n">
        <v>3260</v>
      </c>
      <c r="G13" s="8" t="n">
        <f aca="false">F13/4.184</f>
        <v>779.158699808795</v>
      </c>
      <c r="H13" s="7" t="n">
        <v>21.2</v>
      </c>
      <c r="I13" s="9" t="n">
        <f aca="false">E13/D13</f>
        <v>28.8888888888889</v>
      </c>
      <c r="J13" s="8" t="n">
        <f aca="false">F13/D13</f>
        <v>329.292929292929</v>
      </c>
      <c r="K13" s="8" t="n">
        <f aca="false">G13/D13</f>
        <v>78.7028989705854</v>
      </c>
      <c r="L13" s="10" t="n">
        <f aca="false">H13/D13</f>
        <v>2.14141414141414</v>
      </c>
    </row>
    <row r="14" customFormat="false" ht="15" hidden="false" customHeight="false" outlineLevel="0" collapsed="false">
      <c r="A14" s="4" t="s">
        <v>46</v>
      </c>
      <c r="B14" s="5" t="s">
        <v>23</v>
      </c>
      <c r="C14" s="5" t="s">
        <v>25</v>
      </c>
      <c r="D14" s="6" t="n">
        <v>6.5</v>
      </c>
      <c r="E14" s="7" t="n">
        <v>175</v>
      </c>
      <c r="F14" s="7" t="n">
        <v>2010</v>
      </c>
      <c r="G14" s="8" t="n">
        <f aca="false">F14/4.184</f>
        <v>480.401529636711</v>
      </c>
      <c r="H14" s="7" t="n">
        <v>6.8</v>
      </c>
      <c r="I14" s="9" t="n">
        <f aca="false">E14/D14</f>
        <v>26.9230769230769</v>
      </c>
      <c r="J14" s="8" t="n">
        <f aca="false">F14/D14</f>
        <v>309.230769230769</v>
      </c>
      <c r="K14" s="8" t="n">
        <f aca="false">G14/D14</f>
        <v>73.9079276364171</v>
      </c>
      <c r="L14" s="10" t="n">
        <f aca="false">H14/D14</f>
        <v>1.04615384615385</v>
      </c>
    </row>
    <row r="15" customFormat="false" ht="15" hidden="false" customHeight="false" outlineLevel="0" collapsed="false">
      <c r="A15" s="4" t="s">
        <v>37</v>
      </c>
      <c r="B15" s="5" t="s">
        <v>18</v>
      </c>
      <c r="C15" s="5" t="s">
        <v>19</v>
      </c>
      <c r="D15" s="6" t="n">
        <v>16.3</v>
      </c>
      <c r="E15" s="7" t="n">
        <v>500</v>
      </c>
      <c r="F15" s="7" t="n">
        <v>4630</v>
      </c>
      <c r="G15" s="8" t="n">
        <f aca="false">F15/4.184</f>
        <v>1106.5965583174</v>
      </c>
      <c r="H15" s="7" t="n">
        <v>52.1</v>
      </c>
      <c r="I15" s="9" t="n">
        <f aca="false">E15/D15</f>
        <v>30.6748466257669</v>
      </c>
      <c r="J15" s="8" t="n">
        <f aca="false">F15/D15</f>
        <v>284.049079754601</v>
      </c>
      <c r="K15" s="8" t="n">
        <f aca="false">G15/D15</f>
        <v>67.8893594059754</v>
      </c>
      <c r="L15" s="10" t="n">
        <f aca="false">H15/D15</f>
        <v>3.19631901840491</v>
      </c>
    </row>
    <row r="16" customFormat="false" ht="15" hidden="false" customHeight="false" outlineLevel="0" collapsed="false">
      <c r="A16" s="4" t="s">
        <v>22</v>
      </c>
      <c r="B16" s="5" t="s">
        <v>23</v>
      </c>
      <c r="C16" s="5"/>
      <c r="D16" s="6" t="n">
        <v>2.5</v>
      </c>
      <c r="E16" s="7" t="n">
        <v>95</v>
      </c>
      <c r="F16" s="7" t="n">
        <v>687</v>
      </c>
      <c r="G16" s="8" t="n">
        <f aca="false">F16/4.184</f>
        <v>164.196940726577</v>
      </c>
      <c r="H16" s="7" t="n">
        <v>3</v>
      </c>
      <c r="I16" s="9" t="n">
        <f aca="false">E16/D16</f>
        <v>38</v>
      </c>
      <c r="J16" s="8" t="n">
        <f aca="false">F16/D16</f>
        <v>274.8</v>
      </c>
      <c r="K16" s="8" t="n">
        <f aca="false">G16/D16</f>
        <v>65.678776290631</v>
      </c>
      <c r="L16" s="10" t="n">
        <f aca="false">H16/D16</f>
        <v>1.2</v>
      </c>
    </row>
    <row r="17" customFormat="false" ht="15" hidden="false" customHeight="false" outlineLevel="0" collapsed="false">
      <c r="A17" s="4" t="s">
        <v>17</v>
      </c>
      <c r="B17" s="5" t="s">
        <v>18</v>
      </c>
      <c r="C17" s="5" t="s">
        <v>19</v>
      </c>
      <c r="D17" s="6" t="n">
        <v>17.1</v>
      </c>
      <c r="E17" s="7" t="n">
        <v>699</v>
      </c>
      <c r="F17" s="7" t="n">
        <v>4680</v>
      </c>
      <c r="G17" s="8" t="n">
        <f aca="false">F17/4.184</f>
        <v>1118.54684512428</v>
      </c>
      <c r="H17" s="7" t="n">
        <v>56.2</v>
      </c>
      <c r="I17" s="9" t="n">
        <f aca="false">E17/D17</f>
        <v>40.8771929824561</v>
      </c>
      <c r="J17" s="8" t="n">
        <f aca="false">F17/D17</f>
        <v>273.684210526316</v>
      </c>
      <c r="K17" s="8" t="n">
        <f aca="false">G17/D17</f>
        <v>65.4120962060984</v>
      </c>
      <c r="L17" s="10" t="n">
        <f aca="false">H17/D17</f>
        <v>3.28654970760234</v>
      </c>
    </row>
    <row r="18" customFormat="false" ht="15" hidden="false" customHeight="false" outlineLevel="0" collapsed="false">
      <c r="A18" s="4" t="s">
        <v>38</v>
      </c>
      <c r="B18" s="5" t="s">
        <v>18</v>
      </c>
      <c r="C18" s="5" t="s">
        <v>19</v>
      </c>
      <c r="D18" s="6" t="n">
        <v>15.5</v>
      </c>
      <c r="E18" s="7" t="n">
        <v>470</v>
      </c>
      <c r="F18" s="7" t="n">
        <v>4070</v>
      </c>
      <c r="G18" s="8" t="n">
        <f aca="false">F18/4.184</f>
        <v>972.753346080306</v>
      </c>
      <c r="H18" s="7" t="n">
        <v>46.4</v>
      </c>
      <c r="I18" s="9" t="n">
        <f aca="false">E18/D18</f>
        <v>30.3225806451613</v>
      </c>
      <c r="J18" s="8" t="n">
        <f aca="false">F18/D18</f>
        <v>262.58064516129</v>
      </c>
      <c r="K18" s="8" t="n">
        <f aca="false">G18/D18</f>
        <v>62.7582803922778</v>
      </c>
      <c r="L18" s="10" t="n">
        <f aca="false">H18/D18</f>
        <v>2.99354838709677</v>
      </c>
    </row>
    <row r="19" customFormat="false" ht="15" hidden="false" customHeight="false" outlineLevel="0" collapsed="false">
      <c r="A19" s="4" t="s">
        <v>51</v>
      </c>
      <c r="B19" s="5" t="s">
        <v>52</v>
      </c>
      <c r="C19" s="5" t="s">
        <v>53</v>
      </c>
      <c r="D19" s="6" t="n">
        <v>9.5</v>
      </c>
      <c r="E19" s="7" t="n">
        <v>235</v>
      </c>
      <c r="F19" s="7" t="n">
        <v>2490</v>
      </c>
      <c r="G19" s="8" t="n">
        <f aca="false">F19/4.184</f>
        <v>595.124282982792</v>
      </c>
      <c r="H19" s="7" t="n">
        <v>27</v>
      </c>
      <c r="I19" s="9" t="n">
        <f aca="false">E19/D19</f>
        <v>24.7368421052632</v>
      </c>
      <c r="J19" s="8" t="n">
        <f aca="false">F19/D19</f>
        <v>262.105263157895</v>
      </c>
      <c r="K19" s="8" t="n">
        <f aca="false">G19/D19</f>
        <v>62.6446613666096</v>
      </c>
      <c r="L19" s="10" t="n">
        <f aca="false">H19/D19</f>
        <v>2.84210526315789</v>
      </c>
    </row>
    <row r="20" customFormat="false" ht="15" hidden="false" customHeight="false" outlineLevel="0" collapsed="false">
      <c r="A20" s="4" t="s">
        <v>39</v>
      </c>
      <c r="B20" s="5" t="s">
        <v>18</v>
      </c>
      <c r="C20" s="5" t="s">
        <v>19</v>
      </c>
      <c r="D20" s="6" t="n">
        <v>16.3</v>
      </c>
      <c r="E20" s="7" t="n">
        <v>480</v>
      </c>
      <c r="F20" s="7" t="n">
        <v>4270</v>
      </c>
      <c r="G20" s="8" t="n">
        <f aca="false">F20/4.184</f>
        <v>1020.55449330784</v>
      </c>
      <c r="H20" s="7" t="n">
        <v>49.6</v>
      </c>
      <c r="I20" s="9" t="n">
        <f aca="false">E20/D20</f>
        <v>29.4478527607362</v>
      </c>
      <c r="J20" s="8" t="n">
        <f aca="false">F20/D20</f>
        <v>261.963190184049</v>
      </c>
      <c r="K20" s="8" t="n">
        <f aca="false">G20/D20</f>
        <v>62.6107051109104</v>
      </c>
      <c r="L20" s="10" t="n">
        <f aca="false">H20/D20</f>
        <v>3.04294478527607</v>
      </c>
    </row>
    <row r="21" customFormat="false" ht="15" hidden="false" customHeight="false" outlineLevel="0" collapsed="false">
      <c r="A21" s="4" t="s">
        <v>27</v>
      </c>
      <c r="B21" s="5" t="s">
        <v>23</v>
      </c>
      <c r="C21" s="5" t="s">
        <v>25</v>
      </c>
      <c r="D21" s="6" t="n">
        <v>5.5</v>
      </c>
      <c r="E21" s="7" t="n">
        <v>183</v>
      </c>
      <c r="F21" s="7" t="n">
        <v>1310</v>
      </c>
      <c r="G21" s="8" t="n">
        <f aca="false">F21/4.184</f>
        <v>313.097514340344</v>
      </c>
      <c r="H21" s="7" t="n">
        <v>5.5</v>
      </c>
      <c r="I21" s="9" t="n">
        <f aca="false">E21/D21</f>
        <v>33.2727272727273</v>
      </c>
      <c r="J21" s="8" t="n">
        <f aca="false">F21/D21</f>
        <v>238.181818181818</v>
      </c>
      <c r="K21" s="8" t="n">
        <f aca="false">G21/D21</f>
        <v>56.9268207891535</v>
      </c>
      <c r="L21" s="10" t="n">
        <f aca="false">H21/D21</f>
        <v>1</v>
      </c>
    </row>
    <row r="22" customFormat="false" ht="15" hidden="false" customHeight="false" outlineLevel="0" collapsed="false">
      <c r="A22" s="4" t="s">
        <v>50</v>
      </c>
      <c r="B22" s="5" t="s">
        <v>36</v>
      </c>
      <c r="C22" s="5" t="s">
        <v>19</v>
      </c>
      <c r="D22" s="6" t="n">
        <v>11</v>
      </c>
      <c r="E22" s="7" t="n">
        <v>275</v>
      </c>
      <c r="F22" s="7" t="n">
        <v>2560</v>
      </c>
      <c r="G22" s="8" t="n">
        <f aca="false">F22/4.184</f>
        <v>611.854684512428</v>
      </c>
      <c r="H22" s="7" t="n">
        <v>26.6</v>
      </c>
      <c r="I22" s="9" t="n">
        <f aca="false">E22/D22</f>
        <v>25</v>
      </c>
      <c r="J22" s="8" t="n">
        <f aca="false">F22/D22</f>
        <v>232.727272727273</v>
      </c>
      <c r="K22" s="8" t="n">
        <f aca="false">G22/D22</f>
        <v>55.6231531374935</v>
      </c>
      <c r="L22" s="10" t="n">
        <f aca="false">H22/D22</f>
        <v>2.41818181818182</v>
      </c>
    </row>
    <row r="23" customFormat="false" ht="15" hidden="false" customHeight="false" outlineLevel="0" collapsed="false">
      <c r="A23" s="4" t="s">
        <v>24</v>
      </c>
      <c r="B23" s="5" t="s">
        <v>23</v>
      </c>
      <c r="C23" s="5" t="s">
        <v>25</v>
      </c>
      <c r="D23" s="6" t="n">
        <v>4.5</v>
      </c>
      <c r="E23" s="7" t="n">
        <v>165</v>
      </c>
      <c r="F23" s="7" t="n">
        <v>1040</v>
      </c>
      <c r="G23" s="8" t="n">
        <f aca="false">F23/4.184</f>
        <v>248.565965583174</v>
      </c>
      <c r="H23" s="7" t="n">
        <v>4.4</v>
      </c>
      <c r="I23" s="9" t="n">
        <f aca="false">E23/D23</f>
        <v>36.6666666666667</v>
      </c>
      <c r="J23" s="8" t="n">
        <f aca="false">F23/D23</f>
        <v>231.111111111111</v>
      </c>
      <c r="K23" s="8" t="n">
        <f aca="false">G23/D23</f>
        <v>55.2368812407053</v>
      </c>
      <c r="L23" s="10" t="n">
        <f aca="false">H23/D23</f>
        <v>0.977777777777778</v>
      </c>
    </row>
    <row r="24" customFormat="false" ht="15" hidden="false" customHeight="false" outlineLevel="0" collapsed="false">
      <c r="A24" s="4" t="s">
        <v>54</v>
      </c>
      <c r="B24" s="5" t="s">
        <v>55</v>
      </c>
      <c r="C24" s="5" t="s">
        <v>56</v>
      </c>
      <c r="D24" s="6" t="n">
        <v>3</v>
      </c>
      <c r="E24" s="7" t="n">
        <v>74</v>
      </c>
      <c r="F24" s="7" t="n">
        <v>693</v>
      </c>
      <c r="G24" s="8" t="n">
        <f aca="false">F24/4.184</f>
        <v>165.630975143403</v>
      </c>
      <c r="H24" s="7" t="n">
        <v>7.6</v>
      </c>
      <c r="I24" s="9" t="n">
        <f aca="false">E24/D24</f>
        <v>24.6666666666667</v>
      </c>
      <c r="J24" s="8" t="n">
        <f aca="false">F24/D24</f>
        <v>231</v>
      </c>
      <c r="K24" s="8" t="n">
        <f aca="false">G24/D24</f>
        <v>55.2103250478012</v>
      </c>
      <c r="L24" s="10" t="n">
        <f aca="false">H24/D24</f>
        <v>2.53333333333333</v>
      </c>
    </row>
    <row r="25" customFormat="false" ht="15" hidden="false" customHeight="false" outlineLevel="0" collapsed="false">
      <c r="A25" s="4" t="s">
        <v>26</v>
      </c>
      <c r="B25" s="5" t="s">
        <v>18</v>
      </c>
      <c r="C25" s="5" t="s">
        <v>19</v>
      </c>
      <c r="D25" s="6" t="n">
        <v>14.2</v>
      </c>
      <c r="E25" s="7" t="n">
        <v>480</v>
      </c>
      <c r="F25" s="7" t="n">
        <v>3250</v>
      </c>
      <c r="G25" s="8" t="n">
        <f aca="false">F25/4.184</f>
        <v>776.768642447419</v>
      </c>
      <c r="H25" s="7" t="n">
        <v>47.2</v>
      </c>
      <c r="I25" s="9" t="n">
        <f aca="false">E25/D25</f>
        <v>33.8028169014085</v>
      </c>
      <c r="J25" s="8" t="n">
        <f aca="false">F25/D25</f>
        <v>228.87323943662</v>
      </c>
      <c r="K25" s="8" t="n">
        <f aca="false">G25/D25</f>
        <v>54.7020170737619</v>
      </c>
      <c r="L25" s="10" t="n">
        <f aca="false">H25/D25</f>
        <v>3.32394366197183</v>
      </c>
    </row>
    <row r="26" customFormat="false" ht="15" hidden="false" customHeight="false" outlineLevel="0" collapsed="false">
      <c r="A26" s="4" t="s">
        <v>49</v>
      </c>
      <c r="B26" s="5" t="s">
        <v>36</v>
      </c>
      <c r="C26" s="5" t="s">
        <v>19</v>
      </c>
      <c r="D26" s="6" t="n">
        <v>11.2</v>
      </c>
      <c r="E26" s="7" t="n">
        <v>284</v>
      </c>
      <c r="F26" s="7" t="n">
        <v>2550</v>
      </c>
      <c r="G26" s="8" t="n">
        <f aca="false">F26/4.184</f>
        <v>609.464627151052</v>
      </c>
      <c r="H26" s="7" t="n">
        <v>27.2</v>
      </c>
      <c r="I26" s="9" t="n">
        <f aca="false">E26/D26</f>
        <v>25.3571428571429</v>
      </c>
      <c r="J26" s="8" t="n">
        <f aca="false">F26/D26</f>
        <v>227.678571428571</v>
      </c>
      <c r="K26" s="8" t="n">
        <f aca="false">G26/D26</f>
        <v>54.4164845670582</v>
      </c>
      <c r="L26" s="10" t="n">
        <f aca="false">H26/D26</f>
        <v>2.42857142857143</v>
      </c>
    </row>
    <row r="27" customFormat="false" ht="15" hidden="false" customHeight="false" outlineLevel="0" collapsed="false">
      <c r="A27" s="4" t="s">
        <v>35</v>
      </c>
      <c r="B27" s="5" t="s">
        <v>36</v>
      </c>
      <c r="C27" s="5" t="s">
        <v>19</v>
      </c>
      <c r="D27" s="6" t="n">
        <v>12</v>
      </c>
      <c r="E27" s="7" t="n">
        <v>370</v>
      </c>
      <c r="F27" s="7" t="n">
        <v>2660</v>
      </c>
      <c r="G27" s="8" t="n">
        <f aca="false">F27/4.184</f>
        <v>635.755258126195</v>
      </c>
      <c r="H27" s="7" t="n">
        <v>30.8</v>
      </c>
      <c r="I27" s="9" t="n">
        <f aca="false">E27/D27</f>
        <v>30.8333333333333</v>
      </c>
      <c r="J27" s="8" t="n">
        <f aca="false">F27/D27</f>
        <v>221.666666666667</v>
      </c>
      <c r="K27" s="8" t="n">
        <f aca="false">G27/D27</f>
        <v>52.9796048438496</v>
      </c>
      <c r="L27" s="10" t="n">
        <f aca="false">H27/D27</f>
        <v>2.56666666666667</v>
      </c>
    </row>
    <row r="28" customFormat="false" ht="15" hidden="false" customHeight="false" outlineLevel="0" collapsed="false">
      <c r="A28" s="4" t="s">
        <v>68</v>
      </c>
      <c r="B28" s="5" t="s">
        <v>55</v>
      </c>
      <c r="C28" s="5" t="s">
        <v>69</v>
      </c>
      <c r="D28" s="6" t="n">
        <v>15.8</v>
      </c>
      <c r="E28" s="7" t="n">
        <v>297</v>
      </c>
      <c r="F28" s="7" t="n">
        <v>3480</v>
      </c>
      <c r="G28" s="8" t="n">
        <f aca="false">F28/4.184</f>
        <v>831.739961759082</v>
      </c>
      <c r="H28" s="7" t="n">
        <v>34.8</v>
      </c>
      <c r="I28" s="9" t="n">
        <f aca="false">E28/D28</f>
        <v>18.7974683544304</v>
      </c>
      <c r="J28" s="8" t="n">
        <f aca="false">F28/D28</f>
        <v>220.253164556962</v>
      </c>
      <c r="K28" s="8" t="n">
        <f aca="false">G28/D28</f>
        <v>52.6417697315875</v>
      </c>
      <c r="L28" s="10" t="n">
        <f aca="false">H28/D28</f>
        <v>2.20253164556962</v>
      </c>
    </row>
    <row r="29" customFormat="false" ht="15" hidden="false" customHeight="false" outlineLevel="0" collapsed="false">
      <c r="A29" s="4" t="s">
        <v>60</v>
      </c>
      <c r="B29" s="5" t="s">
        <v>36</v>
      </c>
      <c r="C29" s="5" t="s">
        <v>19</v>
      </c>
      <c r="D29" s="6" t="n">
        <v>11.2</v>
      </c>
      <c r="E29" s="7" t="n">
        <v>250</v>
      </c>
      <c r="F29" s="7" t="n">
        <v>2320</v>
      </c>
      <c r="G29" s="8" t="n">
        <f aca="false">F29/4.184</f>
        <v>554.493307839388</v>
      </c>
      <c r="H29" s="7" t="n">
        <v>26.1</v>
      </c>
      <c r="I29" s="9" t="n">
        <f aca="false">E29/D29</f>
        <v>22.3214285714286</v>
      </c>
      <c r="J29" s="8" t="n">
        <f aca="false">F29/D29</f>
        <v>207.142857142857</v>
      </c>
      <c r="K29" s="8" t="n">
        <f aca="false">G29/D29</f>
        <v>49.5083310570882</v>
      </c>
      <c r="L29" s="10" t="n">
        <f aca="false">H29/D29</f>
        <v>2.33035714285714</v>
      </c>
    </row>
    <row r="30" customFormat="false" ht="15" hidden="false" customHeight="false" outlineLevel="0" collapsed="false">
      <c r="A30" s="4" t="s">
        <v>70</v>
      </c>
      <c r="B30" s="5" t="s">
        <v>55</v>
      </c>
      <c r="C30" s="5" t="s">
        <v>69</v>
      </c>
      <c r="D30" s="6" t="n">
        <v>5.6</v>
      </c>
      <c r="E30" s="7" t="n">
        <v>99</v>
      </c>
      <c r="F30" s="7" t="n">
        <v>1160</v>
      </c>
      <c r="G30" s="8" t="n">
        <f aca="false">F30/4.184</f>
        <v>277.246653919694</v>
      </c>
      <c r="H30" s="7" t="n">
        <v>11.6</v>
      </c>
      <c r="I30" s="9" t="n">
        <f aca="false">E30/D30</f>
        <v>17.6785714285714</v>
      </c>
      <c r="J30" s="8" t="n">
        <f aca="false">F30/D30</f>
        <v>207.142857142857</v>
      </c>
      <c r="K30" s="8" t="n">
        <f aca="false">G30/D30</f>
        <v>49.5083310570882</v>
      </c>
      <c r="L30" s="10" t="n">
        <f aca="false">H30/D30</f>
        <v>2.07142857142857</v>
      </c>
    </row>
    <row r="31" customFormat="false" ht="15" hidden="false" customHeight="false" outlineLevel="0" collapsed="false">
      <c r="A31" s="4" t="s">
        <v>61</v>
      </c>
      <c r="B31" s="5" t="s">
        <v>18</v>
      </c>
      <c r="C31" s="5" t="s">
        <v>19</v>
      </c>
      <c r="D31" s="6" t="n">
        <v>11.4</v>
      </c>
      <c r="E31" s="7" t="n">
        <v>241</v>
      </c>
      <c r="F31" s="7" t="n">
        <v>2240</v>
      </c>
      <c r="G31" s="8" t="n">
        <f aca="false">F31/4.184</f>
        <v>535.372848948375</v>
      </c>
      <c r="H31" s="7" t="n">
        <v>31.4</v>
      </c>
      <c r="I31" s="9" t="n">
        <f aca="false">E31/D31</f>
        <v>21.140350877193</v>
      </c>
      <c r="J31" s="8" t="n">
        <f aca="false">F31/D31</f>
        <v>196.491228070175</v>
      </c>
      <c r="K31" s="8" t="n">
        <f aca="false">G31/D31</f>
        <v>46.9625306095066</v>
      </c>
      <c r="L31" s="10" t="n">
        <f aca="false">H31/D31</f>
        <v>2.75438596491228</v>
      </c>
    </row>
    <row r="32" customFormat="false" ht="15" hidden="false" customHeight="false" outlineLevel="0" collapsed="false">
      <c r="A32" s="4" t="s">
        <v>30</v>
      </c>
      <c r="B32" s="5" t="s">
        <v>18</v>
      </c>
      <c r="C32" s="5" t="s">
        <v>19</v>
      </c>
      <c r="D32" s="6" t="n">
        <v>14.2</v>
      </c>
      <c r="E32" s="7" t="n">
        <v>455</v>
      </c>
      <c r="F32" s="7" t="n">
        <v>2780</v>
      </c>
      <c r="G32" s="8" t="n">
        <f aca="false">F32/4.184</f>
        <v>664.435946462715</v>
      </c>
      <c r="H32" s="7" t="n">
        <v>42.7</v>
      </c>
      <c r="I32" s="9" t="n">
        <f aca="false">E32/D32</f>
        <v>32.0422535211268</v>
      </c>
      <c r="J32" s="8" t="n">
        <f aca="false">F32/D32</f>
        <v>195.774647887324</v>
      </c>
      <c r="K32" s="8" t="n">
        <f aca="false">G32/D32</f>
        <v>46.7912638354025</v>
      </c>
      <c r="L32" s="10" t="n">
        <f aca="false">H32/D32</f>
        <v>3.00704225352113</v>
      </c>
    </row>
    <row r="33" customFormat="false" ht="15" hidden="false" customHeight="false" outlineLevel="0" collapsed="false">
      <c r="A33" s="4" t="s">
        <v>63</v>
      </c>
      <c r="B33" s="5" t="s">
        <v>55</v>
      </c>
      <c r="C33" s="5" t="s">
        <v>64</v>
      </c>
      <c r="D33" s="6" t="n">
        <v>5.6</v>
      </c>
      <c r="E33" s="7" t="n">
        <v>118</v>
      </c>
      <c r="F33" s="7" t="n">
        <v>1090</v>
      </c>
      <c r="G33" s="8" t="n">
        <f aca="false">F33/4.184</f>
        <v>260.516252390057</v>
      </c>
      <c r="H33" s="7" t="n">
        <v>7.3</v>
      </c>
      <c r="I33" s="9" t="n">
        <f aca="false">E33/D33</f>
        <v>21.0714285714286</v>
      </c>
      <c r="J33" s="8" t="n">
        <f aca="false">F33/D33</f>
        <v>194.642857142857</v>
      </c>
      <c r="K33" s="8" t="n">
        <f aca="false">G33/D33</f>
        <v>46.5207593553674</v>
      </c>
      <c r="L33" s="10" t="n">
        <f aca="false">H33/D33</f>
        <v>1.30357142857143</v>
      </c>
    </row>
    <row r="34" customFormat="false" ht="15" hidden="false" customHeight="false" outlineLevel="0" collapsed="false">
      <c r="A34" s="4" t="s">
        <v>48</v>
      </c>
      <c r="B34" s="5" t="s">
        <v>36</v>
      </c>
      <c r="C34" s="5" t="s">
        <v>19</v>
      </c>
      <c r="D34" s="6" t="n">
        <v>9.9</v>
      </c>
      <c r="E34" s="7" t="n">
        <v>260</v>
      </c>
      <c r="F34" s="7" t="n">
        <v>1900</v>
      </c>
      <c r="G34" s="8" t="n">
        <f aca="false">F34/4.184</f>
        <v>454.110898661568</v>
      </c>
      <c r="H34" s="7" t="n">
        <v>26.1</v>
      </c>
      <c r="I34" s="9" t="n">
        <f aca="false">E34/D34</f>
        <v>26.2626262626263</v>
      </c>
      <c r="J34" s="8" t="n">
        <f aca="false">F34/D34</f>
        <v>191.919191919192</v>
      </c>
      <c r="K34" s="8" t="n">
        <f aca="false">G34/D34</f>
        <v>45.8697877435927</v>
      </c>
      <c r="L34" s="10" t="n">
        <f aca="false">H34/D34</f>
        <v>2.63636363636364</v>
      </c>
    </row>
    <row r="35" customFormat="false" ht="15" hidden="false" customHeight="false" outlineLevel="0" collapsed="false">
      <c r="A35" s="4" t="s">
        <v>34</v>
      </c>
      <c r="B35" s="5" t="s">
        <v>23</v>
      </c>
      <c r="C35" s="5" t="s">
        <v>25</v>
      </c>
      <c r="D35" s="6" t="n">
        <v>3.5</v>
      </c>
      <c r="E35" s="7" t="n">
        <v>108</v>
      </c>
      <c r="F35" s="7" t="n">
        <v>652</v>
      </c>
      <c r="G35" s="8" t="n">
        <f aca="false">F35/4.184</f>
        <v>155.831739961759</v>
      </c>
      <c r="H35" s="7" t="n">
        <v>2.9</v>
      </c>
      <c r="I35" s="9" t="n">
        <f aca="false">E35/D35</f>
        <v>30.8571428571429</v>
      </c>
      <c r="J35" s="8" t="n">
        <f aca="false">F35/D35</f>
        <v>186.285714285714</v>
      </c>
      <c r="K35" s="8" t="n">
        <f aca="false">G35/D35</f>
        <v>44.5233542747883</v>
      </c>
      <c r="L35" s="10" t="n">
        <f aca="false">H35/D35</f>
        <v>0.828571428571429</v>
      </c>
    </row>
    <row r="36" customFormat="false" ht="15" hidden="false" customHeight="false" outlineLevel="0" collapsed="false">
      <c r="A36" s="4" t="s">
        <v>47</v>
      </c>
      <c r="B36" s="5" t="s">
        <v>36</v>
      </c>
      <c r="C36" s="5" t="s">
        <v>19</v>
      </c>
      <c r="D36" s="6" t="n">
        <v>9.9</v>
      </c>
      <c r="E36" s="7" t="n">
        <v>264</v>
      </c>
      <c r="F36" s="7" t="n">
        <v>1720</v>
      </c>
      <c r="G36" s="8" t="n">
        <f aca="false">F36/4.184</f>
        <v>411.089866156788</v>
      </c>
      <c r="H36" s="7" t="n">
        <v>23.9</v>
      </c>
      <c r="I36" s="9" t="n">
        <f aca="false">E36/D36</f>
        <v>26.6666666666667</v>
      </c>
      <c r="J36" s="8" t="n">
        <f aca="false">F36/D36</f>
        <v>173.737373737374</v>
      </c>
      <c r="K36" s="8" t="n">
        <f aca="false">G36/D36</f>
        <v>41.524228904726</v>
      </c>
      <c r="L36" s="10" t="n">
        <f aca="false">H36/D36</f>
        <v>2.41414141414141</v>
      </c>
    </row>
    <row r="37" customFormat="false" ht="15" hidden="false" customHeight="false" outlineLevel="0" collapsed="false">
      <c r="A37" s="4" t="s">
        <v>74</v>
      </c>
      <c r="B37" s="5" t="s">
        <v>18</v>
      </c>
      <c r="C37" s="5" t="s">
        <v>75</v>
      </c>
      <c r="D37" s="6" t="n">
        <v>9.3</v>
      </c>
      <c r="E37" s="7" t="n">
        <v>110</v>
      </c>
      <c r="F37" s="7" t="n">
        <v>1580</v>
      </c>
      <c r="G37" s="8" t="n">
        <f aca="false">F37/4.184</f>
        <v>377.629063097514</v>
      </c>
      <c r="H37" s="7" t="n">
        <v>17.6</v>
      </c>
      <c r="I37" s="9" t="n">
        <f aca="false">E37/D37</f>
        <v>11.8279569892473</v>
      </c>
      <c r="J37" s="8" t="n">
        <f aca="false">F37/D37</f>
        <v>169.89247311828</v>
      </c>
      <c r="K37" s="8" t="n">
        <f aca="false">G37/D37</f>
        <v>40.6052756018833</v>
      </c>
      <c r="L37" s="10" t="n">
        <f aca="false">H37/D37</f>
        <v>1.89247311827957</v>
      </c>
    </row>
    <row r="38" customFormat="false" ht="15" hidden="false" customHeight="false" outlineLevel="0" collapsed="false">
      <c r="A38" s="4" t="s">
        <v>59</v>
      </c>
      <c r="B38" s="5" t="s">
        <v>55</v>
      </c>
      <c r="C38" s="5" t="s">
        <v>19</v>
      </c>
      <c r="D38" s="6" t="n">
        <v>15.8</v>
      </c>
      <c r="E38" s="7" t="n">
        <v>354</v>
      </c>
      <c r="F38" s="7" t="n">
        <v>2439</v>
      </c>
      <c r="G38" s="8" t="n">
        <f aca="false">F38/4.184</f>
        <v>582.934990439771</v>
      </c>
      <c r="H38" s="7" t="n">
        <v>45.9</v>
      </c>
      <c r="I38" s="9" t="n">
        <f aca="false">E38/D38</f>
        <v>22.4050632911392</v>
      </c>
      <c r="J38" s="8" t="n">
        <f aca="false">F38/D38</f>
        <v>154.367088607595</v>
      </c>
      <c r="K38" s="8" t="n">
        <f aca="false">G38/D38</f>
        <v>36.8946196480867</v>
      </c>
      <c r="L38" s="10" t="n">
        <f aca="false">H38/D38</f>
        <v>2.90506329113924</v>
      </c>
    </row>
    <row r="39" customFormat="false" ht="15" hidden="false" customHeight="false" outlineLevel="0" collapsed="false">
      <c r="A39" s="4" t="s">
        <v>62</v>
      </c>
      <c r="B39" s="5" t="s">
        <v>55</v>
      </c>
      <c r="C39" s="5" t="s">
        <v>19</v>
      </c>
      <c r="D39" s="6" t="n">
        <v>5.6</v>
      </c>
      <c r="E39" s="7" t="n">
        <v>118</v>
      </c>
      <c r="F39" s="7" t="n">
        <v>813</v>
      </c>
      <c r="G39" s="8" t="n">
        <f aca="false">F39/4.184</f>
        <v>194.311663479924</v>
      </c>
      <c r="H39" s="7" t="n">
        <v>15.3</v>
      </c>
      <c r="I39" s="9" t="n">
        <f aca="false">E39/D39</f>
        <v>21.0714285714286</v>
      </c>
      <c r="J39" s="8" t="n">
        <f aca="false">F39/D39</f>
        <v>145.178571428571</v>
      </c>
      <c r="K39" s="8" t="n">
        <f aca="false">G39/D39</f>
        <v>34.6985113357006</v>
      </c>
      <c r="L39" s="10" t="n">
        <f aca="false">H39/D39</f>
        <v>2.73214285714286</v>
      </c>
    </row>
    <row r="40" customFormat="false" ht="15" hidden="false" customHeight="false" outlineLevel="0" collapsed="false">
      <c r="A40" s="4" t="s">
        <v>67</v>
      </c>
      <c r="B40" s="5" t="s">
        <v>55</v>
      </c>
      <c r="C40" s="5" t="s">
        <v>19</v>
      </c>
      <c r="D40" s="6" t="n">
        <v>5.6</v>
      </c>
      <c r="E40" s="7" t="n">
        <v>109</v>
      </c>
      <c r="F40" s="7" t="n">
        <v>806</v>
      </c>
      <c r="G40" s="8" t="n">
        <f aca="false">F40/4.184</f>
        <v>192.63862332696</v>
      </c>
      <c r="H40" s="7" t="n">
        <v>14.5</v>
      </c>
      <c r="I40" s="9" t="n">
        <f aca="false">E40/D40</f>
        <v>19.4642857142857</v>
      </c>
      <c r="J40" s="8" t="n">
        <f aca="false">F40/D40</f>
        <v>143.928571428571</v>
      </c>
      <c r="K40" s="8" t="n">
        <f aca="false">G40/D40</f>
        <v>34.3997541655286</v>
      </c>
      <c r="L40" s="10" t="n">
        <f aca="false">H40/D40</f>
        <v>2.58928571428571</v>
      </c>
    </row>
    <row r="41" customFormat="false" ht="15" hidden="false" customHeight="false" outlineLevel="0" collapsed="false">
      <c r="A41" s="4" t="s">
        <v>72</v>
      </c>
      <c r="B41" s="5" t="s">
        <v>41</v>
      </c>
      <c r="C41" s="5" t="s">
        <v>42</v>
      </c>
      <c r="D41" s="6" t="n">
        <v>7.6</v>
      </c>
      <c r="E41" s="7" t="n">
        <v>106</v>
      </c>
      <c r="F41" s="7" t="n">
        <v>1010</v>
      </c>
      <c r="G41" s="8" t="n">
        <f aca="false">F41/4.184</f>
        <v>241.395793499044</v>
      </c>
      <c r="H41" s="7" t="n">
        <v>13.3</v>
      </c>
      <c r="I41" s="9" t="n">
        <f aca="false">E41/D41</f>
        <v>13.9473684210526</v>
      </c>
      <c r="J41" s="8" t="n">
        <f aca="false">F41/D41</f>
        <v>132.894736842105</v>
      </c>
      <c r="K41" s="8" t="n">
        <f aca="false">G41/D41</f>
        <v>31.7626044077689</v>
      </c>
      <c r="L41" s="10" t="n">
        <f aca="false">H41/D41</f>
        <v>1.75</v>
      </c>
    </row>
    <row r="42" customFormat="false" ht="15" hidden="false" customHeight="false" outlineLevel="0" collapsed="false">
      <c r="A42" s="4" t="s">
        <v>73</v>
      </c>
      <c r="B42" s="5" t="s">
        <v>41</v>
      </c>
      <c r="C42" s="5" t="s">
        <v>42</v>
      </c>
      <c r="D42" s="6" t="n">
        <v>11.1</v>
      </c>
      <c r="E42" s="7" t="n">
        <v>147</v>
      </c>
      <c r="F42" s="7" t="n">
        <v>1420</v>
      </c>
      <c r="G42" s="8" t="n">
        <f aca="false">F42/4.184</f>
        <v>339.388145315488</v>
      </c>
      <c r="H42" s="7" t="n">
        <v>19.8</v>
      </c>
      <c r="I42" s="9" t="n">
        <f aca="false">E42/D42</f>
        <v>13.2432432432432</v>
      </c>
      <c r="J42" s="8" t="n">
        <f aca="false">F42/D42</f>
        <v>127.927927927928</v>
      </c>
      <c r="K42" s="8" t="n">
        <f aca="false">G42/D42</f>
        <v>30.5755085869809</v>
      </c>
      <c r="L42" s="10" t="n">
        <f aca="false">H42/D42</f>
        <v>1.78378378378378</v>
      </c>
    </row>
    <row r="43" customFormat="false" ht="15" hidden="false" customHeight="false" outlineLevel="0" collapsed="false">
      <c r="A43" s="4" t="s">
        <v>65</v>
      </c>
      <c r="B43" s="5" t="s">
        <v>18</v>
      </c>
      <c r="C43" s="5" t="s">
        <v>66</v>
      </c>
      <c r="D43" s="6" t="n">
        <v>14.5</v>
      </c>
      <c r="E43" s="7" t="n">
        <v>284</v>
      </c>
      <c r="F43" s="7" t="n">
        <v>1280</v>
      </c>
      <c r="G43" s="8" t="n">
        <f aca="false">F43/4.184</f>
        <v>305.927342256214</v>
      </c>
      <c r="H43" s="7" t="n">
        <v>27.4</v>
      </c>
      <c r="I43" s="9" t="n">
        <f aca="false">E43/D43</f>
        <v>19.5862068965517</v>
      </c>
      <c r="J43" s="8" t="n">
        <f aca="false">F43/D43</f>
        <v>88.2758620689655</v>
      </c>
      <c r="K43" s="8" t="n">
        <f aca="false">G43/D43</f>
        <v>21.0984373969803</v>
      </c>
      <c r="L43" s="10" t="n">
        <f aca="false">H43/D43</f>
        <v>1.88965517241379</v>
      </c>
    </row>
    <row r="44" customFormat="false" ht="15" hidden="false" customHeight="false" outlineLevel="0" collapsed="false">
      <c r="A44" s="4" t="s">
        <v>71</v>
      </c>
      <c r="B44" s="5" t="s">
        <v>36</v>
      </c>
      <c r="C44" s="5" t="s">
        <v>66</v>
      </c>
      <c r="D44" s="6" t="n">
        <v>10.5</v>
      </c>
      <c r="E44" s="7" t="n">
        <v>152</v>
      </c>
      <c r="F44" s="7" t="n">
        <v>648</v>
      </c>
      <c r="G44" s="8" t="n">
        <f aca="false">F44/4.184</f>
        <v>154.875717017208</v>
      </c>
      <c r="H44" s="7" t="n">
        <v>13.8</v>
      </c>
      <c r="I44" s="9" t="n">
        <f aca="false">E44/D44</f>
        <v>14.4761904761905</v>
      </c>
      <c r="J44" s="8" t="n">
        <f aca="false">F44/D44</f>
        <v>61.7142857142857</v>
      </c>
      <c r="K44" s="8" t="n">
        <f aca="false">G44/D44</f>
        <v>14.7500682873532</v>
      </c>
      <c r="L44" s="10" t="n">
        <f aca="false">H44/D44</f>
        <v>1.31428571428571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"/>
    <col collapsed="false" customWidth="true" hidden="false" outlineLevel="0" max="3" min="3" style="0" width="34"/>
    <col collapsed="false" customWidth="true" hidden="false" outlineLevel="0" max="4" min="4" style="0" width="10"/>
    <col collapsed="false" customWidth="true" hidden="false" outlineLevel="0" max="5" min="5" style="0" width="9"/>
    <col collapsed="false" customWidth="true" hidden="false" outlineLevel="0" max="7" min="6" style="0" width="11"/>
    <col collapsed="false" customWidth="true" hidden="false" outlineLevel="0" max="9" min="8" style="0" width="10"/>
    <col collapsed="false" customWidth="true" hidden="false" outlineLevel="0" max="11" min="10" style="0" width="8"/>
    <col collapsed="false" customWidth="true" hidden="false" outlineLevel="0" max="12" min="12" style="0" width="12"/>
  </cols>
  <sheetData>
    <row r="1" customFormat="false" ht="19.7" hidden="false" customHeight="false" outlineLevel="0" collapsed="false">
      <c r="A1" s="1" t="s">
        <v>78</v>
      </c>
    </row>
    <row r="2" customFormat="false" ht="15" hidden="false" customHeight="false" outlineLevel="0" collapsed="false">
      <c r="A2" s="2" t="s">
        <v>79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</row>
    <row r="5" customFormat="false" ht="15" hidden="false" customHeight="false" outlineLevel="0" collapsed="false">
      <c r="A5" s="4" t="s">
        <v>26</v>
      </c>
      <c r="B5" s="5" t="s">
        <v>18</v>
      </c>
      <c r="C5" s="5" t="s">
        <v>19</v>
      </c>
      <c r="D5" s="6" t="n">
        <v>14.2</v>
      </c>
      <c r="E5" s="7" t="n">
        <v>480</v>
      </c>
      <c r="F5" s="7" t="n">
        <v>3250</v>
      </c>
      <c r="G5" s="8" t="n">
        <f aca="false">F5/4.184</f>
        <v>776.768642447419</v>
      </c>
      <c r="H5" s="7" t="n">
        <v>47.2</v>
      </c>
      <c r="I5" s="9" t="n">
        <f aca="false">E5/D5</f>
        <v>33.8028169014085</v>
      </c>
      <c r="J5" s="8" t="n">
        <f aca="false">F5/D5</f>
        <v>228.87323943662</v>
      </c>
      <c r="K5" s="8" t="n">
        <f aca="false">G5/D5</f>
        <v>54.7020170737619</v>
      </c>
      <c r="L5" s="10" t="n">
        <f aca="false">H5/D5</f>
        <v>3.32394366197183</v>
      </c>
    </row>
    <row r="6" customFormat="false" ht="15" hidden="false" customHeight="false" outlineLevel="0" collapsed="false">
      <c r="A6" s="4" t="s">
        <v>17</v>
      </c>
      <c r="B6" s="5" t="s">
        <v>18</v>
      </c>
      <c r="C6" s="5" t="s">
        <v>19</v>
      </c>
      <c r="D6" s="6" t="n">
        <v>17.1</v>
      </c>
      <c r="E6" s="7" t="n">
        <v>699</v>
      </c>
      <c r="F6" s="7" t="n">
        <v>4680</v>
      </c>
      <c r="G6" s="8" t="n">
        <f aca="false">F6/4.184</f>
        <v>1118.54684512428</v>
      </c>
      <c r="H6" s="7" t="n">
        <v>56.2</v>
      </c>
      <c r="I6" s="9" t="n">
        <f aca="false">E6/D6</f>
        <v>40.8771929824561</v>
      </c>
      <c r="J6" s="8" t="n">
        <f aca="false">F6/D6</f>
        <v>273.684210526316</v>
      </c>
      <c r="K6" s="8" t="n">
        <f aca="false">G6/D6</f>
        <v>65.4120962060984</v>
      </c>
      <c r="L6" s="10" t="n">
        <f aca="false">H6/D6</f>
        <v>3.28654970760234</v>
      </c>
    </row>
    <row r="7" customFormat="false" ht="15" hidden="false" customHeight="false" outlineLevel="0" collapsed="false">
      <c r="A7" s="4" t="s">
        <v>37</v>
      </c>
      <c r="B7" s="5" t="s">
        <v>18</v>
      </c>
      <c r="C7" s="5" t="s">
        <v>19</v>
      </c>
      <c r="D7" s="6" t="n">
        <v>16.3</v>
      </c>
      <c r="E7" s="7" t="n">
        <v>500</v>
      </c>
      <c r="F7" s="7" t="n">
        <v>4630</v>
      </c>
      <c r="G7" s="8" t="n">
        <f aca="false">F7/4.184</f>
        <v>1106.5965583174</v>
      </c>
      <c r="H7" s="7" t="n">
        <v>52.1</v>
      </c>
      <c r="I7" s="9" t="n">
        <f aca="false">E7/D7</f>
        <v>30.6748466257669</v>
      </c>
      <c r="J7" s="8" t="n">
        <f aca="false">F7/D7</f>
        <v>284.049079754601</v>
      </c>
      <c r="K7" s="8" t="n">
        <f aca="false">G7/D7</f>
        <v>67.8893594059754</v>
      </c>
      <c r="L7" s="10" t="n">
        <f aca="false">H7/D7</f>
        <v>3.19631901840491</v>
      </c>
    </row>
    <row r="8" customFormat="false" ht="15" hidden="false" customHeight="false" outlineLevel="0" collapsed="false">
      <c r="A8" s="4" t="s">
        <v>39</v>
      </c>
      <c r="B8" s="5" t="s">
        <v>18</v>
      </c>
      <c r="C8" s="5" t="s">
        <v>19</v>
      </c>
      <c r="D8" s="6" t="n">
        <v>16.3</v>
      </c>
      <c r="E8" s="7" t="n">
        <v>480</v>
      </c>
      <c r="F8" s="7" t="n">
        <v>4270</v>
      </c>
      <c r="G8" s="8" t="n">
        <f aca="false">F8/4.184</f>
        <v>1020.55449330784</v>
      </c>
      <c r="H8" s="7" t="n">
        <v>49.6</v>
      </c>
      <c r="I8" s="9" t="n">
        <f aca="false">E8/D8</f>
        <v>29.4478527607362</v>
      </c>
      <c r="J8" s="8" t="n">
        <f aca="false">F8/D8</f>
        <v>261.963190184049</v>
      </c>
      <c r="K8" s="8" t="n">
        <f aca="false">G8/D8</f>
        <v>62.6107051109104</v>
      </c>
      <c r="L8" s="10" t="n">
        <f aca="false">H8/D8</f>
        <v>3.04294478527607</v>
      </c>
    </row>
    <row r="9" customFormat="false" ht="15" hidden="false" customHeight="false" outlineLevel="0" collapsed="false">
      <c r="A9" s="4" t="s">
        <v>30</v>
      </c>
      <c r="B9" s="5" t="s">
        <v>18</v>
      </c>
      <c r="C9" s="5" t="s">
        <v>19</v>
      </c>
      <c r="D9" s="6" t="n">
        <v>14.2</v>
      </c>
      <c r="E9" s="7" t="n">
        <v>455</v>
      </c>
      <c r="F9" s="7" t="n">
        <v>2780</v>
      </c>
      <c r="G9" s="8" t="n">
        <f aca="false">F9/4.184</f>
        <v>664.435946462715</v>
      </c>
      <c r="H9" s="7" t="n">
        <v>42.7</v>
      </c>
      <c r="I9" s="9" t="n">
        <f aca="false">E9/D9</f>
        <v>32.0422535211268</v>
      </c>
      <c r="J9" s="8" t="n">
        <f aca="false">F9/D9</f>
        <v>195.774647887324</v>
      </c>
      <c r="K9" s="8" t="n">
        <f aca="false">G9/D9</f>
        <v>46.7912638354025</v>
      </c>
      <c r="L9" s="10" t="n">
        <f aca="false">H9/D9</f>
        <v>3.00704225352113</v>
      </c>
    </row>
    <row r="10" customFormat="false" ht="15" hidden="false" customHeight="false" outlineLevel="0" collapsed="false">
      <c r="A10" s="4" t="s">
        <v>14</v>
      </c>
      <c r="B10" s="5" t="s">
        <v>15</v>
      </c>
      <c r="C10" s="5" t="s">
        <v>16</v>
      </c>
      <c r="D10" s="6" t="n">
        <v>6.7</v>
      </c>
      <c r="E10" s="7" t="n">
        <v>330</v>
      </c>
      <c r="F10" s="7" t="n">
        <v>3080</v>
      </c>
      <c r="G10" s="8" t="n">
        <f aca="false">F10/4.184</f>
        <v>736.137667304015</v>
      </c>
      <c r="H10" s="7" t="n">
        <v>20.1</v>
      </c>
      <c r="I10" s="9" t="n">
        <f aca="false">E10/D10</f>
        <v>49.2537313432836</v>
      </c>
      <c r="J10" s="8" t="n">
        <f aca="false">F10/D10</f>
        <v>459.701492537313</v>
      </c>
      <c r="K10" s="8" t="n">
        <f aca="false">G10/D10</f>
        <v>109.871293627465</v>
      </c>
      <c r="L10" s="10" t="n">
        <f aca="false">H10/D10</f>
        <v>3</v>
      </c>
    </row>
    <row r="11" customFormat="false" ht="15" hidden="false" customHeight="false" outlineLevel="0" collapsed="false">
      <c r="A11" s="4" t="s">
        <v>38</v>
      </c>
      <c r="B11" s="5" t="s">
        <v>18</v>
      </c>
      <c r="C11" s="5" t="s">
        <v>19</v>
      </c>
      <c r="D11" s="6" t="n">
        <v>15.5</v>
      </c>
      <c r="E11" s="7" t="n">
        <v>470</v>
      </c>
      <c r="F11" s="7" t="n">
        <v>4070</v>
      </c>
      <c r="G11" s="8" t="n">
        <f aca="false">F11/4.184</f>
        <v>972.753346080306</v>
      </c>
      <c r="H11" s="7" t="n">
        <v>46.4</v>
      </c>
      <c r="I11" s="9" t="n">
        <f aca="false">E11/D11</f>
        <v>30.3225806451613</v>
      </c>
      <c r="J11" s="8" t="n">
        <f aca="false">F11/D11</f>
        <v>262.58064516129</v>
      </c>
      <c r="K11" s="8" t="n">
        <f aca="false">G11/D11</f>
        <v>62.7582803922778</v>
      </c>
      <c r="L11" s="10" t="n">
        <f aca="false">H11/D11</f>
        <v>2.99354838709677</v>
      </c>
    </row>
    <row r="12" customFormat="false" ht="15" hidden="false" customHeight="false" outlineLevel="0" collapsed="false">
      <c r="A12" s="4" t="s">
        <v>59</v>
      </c>
      <c r="B12" s="5" t="s">
        <v>55</v>
      </c>
      <c r="C12" s="5" t="s">
        <v>19</v>
      </c>
      <c r="D12" s="6" t="n">
        <v>15.8</v>
      </c>
      <c r="E12" s="7" t="n">
        <v>354</v>
      </c>
      <c r="F12" s="7" t="n">
        <v>2439</v>
      </c>
      <c r="G12" s="8" t="n">
        <f aca="false">F12/4.184</f>
        <v>582.934990439771</v>
      </c>
      <c r="H12" s="7" t="n">
        <v>45.9</v>
      </c>
      <c r="I12" s="9" t="n">
        <f aca="false">E12/D12</f>
        <v>22.4050632911392</v>
      </c>
      <c r="J12" s="8" t="n">
        <f aca="false">F12/D12</f>
        <v>154.367088607595</v>
      </c>
      <c r="K12" s="8" t="n">
        <f aca="false">G12/D12</f>
        <v>36.8946196480867</v>
      </c>
      <c r="L12" s="10" t="n">
        <f aca="false">H12/D12</f>
        <v>2.90506329113924</v>
      </c>
    </row>
    <row r="13" customFormat="false" ht="15" hidden="false" customHeight="false" outlineLevel="0" collapsed="false">
      <c r="A13" s="4" t="s">
        <v>51</v>
      </c>
      <c r="B13" s="5" t="s">
        <v>52</v>
      </c>
      <c r="C13" s="5" t="s">
        <v>53</v>
      </c>
      <c r="D13" s="6" t="n">
        <v>9.5</v>
      </c>
      <c r="E13" s="7" t="n">
        <v>235</v>
      </c>
      <c r="F13" s="7" t="n">
        <v>2490</v>
      </c>
      <c r="G13" s="8" t="n">
        <f aca="false">F13/4.184</f>
        <v>595.124282982792</v>
      </c>
      <c r="H13" s="7" t="n">
        <v>27</v>
      </c>
      <c r="I13" s="9" t="n">
        <f aca="false">E13/D13</f>
        <v>24.7368421052632</v>
      </c>
      <c r="J13" s="8" t="n">
        <f aca="false">F13/D13</f>
        <v>262.105263157895</v>
      </c>
      <c r="K13" s="8" t="n">
        <f aca="false">G13/D13</f>
        <v>62.6446613666096</v>
      </c>
      <c r="L13" s="10" t="n">
        <f aca="false">H13/D13</f>
        <v>2.84210526315789</v>
      </c>
    </row>
    <row r="14" customFormat="false" ht="15" hidden="false" customHeight="false" outlineLevel="0" collapsed="false">
      <c r="A14" s="4" t="s">
        <v>61</v>
      </c>
      <c r="B14" s="5" t="s">
        <v>18</v>
      </c>
      <c r="C14" s="5" t="s">
        <v>19</v>
      </c>
      <c r="D14" s="6" t="n">
        <v>11.4</v>
      </c>
      <c r="E14" s="7" t="n">
        <v>241</v>
      </c>
      <c r="F14" s="7" t="n">
        <v>2240</v>
      </c>
      <c r="G14" s="8" t="n">
        <f aca="false">F14/4.184</f>
        <v>535.372848948375</v>
      </c>
      <c r="H14" s="7" t="n">
        <v>31.4</v>
      </c>
      <c r="I14" s="9" t="n">
        <f aca="false">E14/D14</f>
        <v>21.140350877193</v>
      </c>
      <c r="J14" s="8" t="n">
        <f aca="false">F14/D14</f>
        <v>196.491228070175</v>
      </c>
      <c r="K14" s="8" t="n">
        <f aca="false">G14/D14</f>
        <v>46.9625306095066</v>
      </c>
      <c r="L14" s="10" t="n">
        <f aca="false">H14/D14</f>
        <v>2.75438596491228</v>
      </c>
    </row>
    <row r="15" customFormat="false" ht="15" hidden="false" customHeight="false" outlineLevel="0" collapsed="false">
      <c r="A15" s="4" t="s">
        <v>62</v>
      </c>
      <c r="B15" s="5" t="s">
        <v>55</v>
      </c>
      <c r="C15" s="5" t="s">
        <v>19</v>
      </c>
      <c r="D15" s="6" t="n">
        <v>5.6</v>
      </c>
      <c r="E15" s="7" t="n">
        <v>118</v>
      </c>
      <c r="F15" s="7" t="n">
        <v>813</v>
      </c>
      <c r="G15" s="8" t="n">
        <f aca="false">F15/4.184</f>
        <v>194.311663479924</v>
      </c>
      <c r="H15" s="7" t="n">
        <v>15.3</v>
      </c>
      <c r="I15" s="9" t="n">
        <f aca="false">E15/D15</f>
        <v>21.0714285714286</v>
      </c>
      <c r="J15" s="8" t="n">
        <f aca="false">F15/D15</f>
        <v>145.178571428571</v>
      </c>
      <c r="K15" s="8" t="n">
        <f aca="false">G15/D15</f>
        <v>34.6985113357006</v>
      </c>
      <c r="L15" s="10" t="n">
        <f aca="false">H15/D15</f>
        <v>2.73214285714286</v>
      </c>
    </row>
    <row r="16" customFormat="false" ht="15" hidden="false" customHeight="false" outlineLevel="0" collapsed="false">
      <c r="A16" s="4" t="s">
        <v>48</v>
      </c>
      <c r="B16" s="5" t="s">
        <v>36</v>
      </c>
      <c r="C16" s="5" t="s">
        <v>19</v>
      </c>
      <c r="D16" s="6" t="n">
        <v>9.9</v>
      </c>
      <c r="E16" s="7" t="n">
        <v>260</v>
      </c>
      <c r="F16" s="7" t="n">
        <v>1900</v>
      </c>
      <c r="G16" s="8" t="n">
        <f aca="false">F16/4.184</f>
        <v>454.110898661568</v>
      </c>
      <c r="H16" s="7" t="n">
        <v>26.1</v>
      </c>
      <c r="I16" s="9" t="n">
        <f aca="false">E16/D16</f>
        <v>26.2626262626263</v>
      </c>
      <c r="J16" s="8" t="n">
        <f aca="false">F16/D16</f>
        <v>191.919191919192</v>
      </c>
      <c r="K16" s="8" t="n">
        <f aca="false">G16/D16</f>
        <v>45.8697877435927</v>
      </c>
      <c r="L16" s="10" t="n">
        <f aca="false">H16/D16</f>
        <v>2.63636363636364</v>
      </c>
    </row>
    <row r="17" customFormat="false" ht="15" hidden="false" customHeight="false" outlineLevel="0" collapsed="false">
      <c r="A17" s="4" t="s">
        <v>67</v>
      </c>
      <c r="B17" s="5" t="s">
        <v>55</v>
      </c>
      <c r="C17" s="5" t="s">
        <v>19</v>
      </c>
      <c r="D17" s="6" t="n">
        <v>5.6</v>
      </c>
      <c r="E17" s="7" t="n">
        <v>109</v>
      </c>
      <c r="F17" s="7" t="n">
        <v>806</v>
      </c>
      <c r="G17" s="8" t="n">
        <f aca="false">F17/4.184</f>
        <v>192.63862332696</v>
      </c>
      <c r="H17" s="7" t="n">
        <v>14.5</v>
      </c>
      <c r="I17" s="9" t="n">
        <f aca="false">E17/D17</f>
        <v>19.4642857142857</v>
      </c>
      <c r="J17" s="8" t="n">
        <f aca="false">F17/D17</f>
        <v>143.928571428571</v>
      </c>
      <c r="K17" s="8" t="n">
        <f aca="false">G17/D17</f>
        <v>34.3997541655286</v>
      </c>
      <c r="L17" s="10" t="n">
        <f aca="false">H17/D17</f>
        <v>2.58928571428571</v>
      </c>
    </row>
    <row r="18" customFormat="false" ht="15" hidden="false" customHeight="false" outlineLevel="0" collapsed="false">
      <c r="A18" s="4" t="s">
        <v>35</v>
      </c>
      <c r="B18" s="5" t="s">
        <v>36</v>
      </c>
      <c r="C18" s="5" t="s">
        <v>19</v>
      </c>
      <c r="D18" s="6" t="n">
        <v>12</v>
      </c>
      <c r="E18" s="7" t="n">
        <v>370</v>
      </c>
      <c r="F18" s="7" t="n">
        <v>2660</v>
      </c>
      <c r="G18" s="8" t="n">
        <f aca="false">F18/4.184</f>
        <v>635.755258126195</v>
      </c>
      <c r="H18" s="7" t="n">
        <v>30.8</v>
      </c>
      <c r="I18" s="9" t="n">
        <f aca="false">E18/D18</f>
        <v>30.8333333333333</v>
      </c>
      <c r="J18" s="8" t="n">
        <f aca="false">F18/D18</f>
        <v>221.666666666667</v>
      </c>
      <c r="K18" s="8" t="n">
        <f aca="false">G18/D18</f>
        <v>52.9796048438496</v>
      </c>
      <c r="L18" s="10" t="n">
        <f aca="false">H18/D18</f>
        <v>2.56666666666667</v>
      </c>
    </row>
    <row r="19" customFormat="false" ht="15" hidden="false" customHeight="false" outlineLevel="0" collapsed="false">
      <c r="A19" s="4" t="s">
        <v>54</v>
      </c>
      <c r="B19" s="5" t="s">
        <v>55</v>
      </c>
      <c r="C19" s="5" t="s">
        <v>56</v>
      </c>
      <c r="D19" s="6" t="n">
        <v>3</v>
      </c>
      <c r="E19" s="7" t="n">
        <v>74</v>
      </c>
      <c r="F19" s="7" t="n">
        <v>693</v>
      </c>
      <c r="G19" s="8" t="n">
        <f aca="false">F19/4.184</f>
        <v>165.630975143403</v>
      </c>
      <c r="H19" s="7" t="n">
        <v>7.6</v>
      </c>
      <c r="I19" s="9" t="n">
        <f aca="false">E19/D19</f>
        <v>24.6666666666667</v>
      </c>
      <c r="J19" s="8" t="n">
        <f aca="false">F19/D19</f>
        <v>231</v>
      </c>
      <c r="K19" s="8" t="n">
        <f aca="false">G19/D19</f>
        <v>55.2103250478012</v>
      </c>
      <c r="L19" s="10" t="n">
        <f aca="false">H19/D19</f>
        <v>2.53333333333333</v>
      </c>
    </row>
    <row r="20" customFormat="false" ht="15" hidden="false" customHeight="false" outlineLevel="0" collapsed="false">
      <c r="A20" s="4" t="s">
        <v>43</v>
      </c>
      <c r="B20" s="5" t="s">
        <v>15</v>
      </c>
      <c r="C20" s="5" t="s">
        <v>44</v>
      </c>
      <c r="D20" s="6" t="n">
        <v>10.1</v>
      </c>
      <c r="E20" s="7" t="n">
        <v>280</v>
      </c>
      <c r="F20" s="7" t="n">
        <v>3390</v>
      </c>
      <c r="G20" s="8" t="n">
        <f aca="false">F20/4.184</f>
        <v>810.229445506692</v>
      </c>
      <c r="H20" s="7" t="n">
        <v>24.8</v>
      </c>
      <c r="I20" s="9" t="n">
        <f aca="false">E20/D20</f>
        <v>27.7227722772277</v>
      </c>
      <c r="J20" s="8" t="n">
        <f aca="false">F20/D20</f>
        <v>335.643564356436</v>
      </c>
      <c r="K20" s="8" t="n">
        <f aca="false">G20/D20</f>
        <v>80.2207371788804</v>
      </c>
      <c r="L20" s="10" t="n">
        <f aca="false">H20/D20</f>
        <v>2.45544554455446</v>
      </c>
    </row>
    <row r="21" customFormat="false" ht="15" hidden="false" customHeight="false" outlineLevel="0" collapsed="false">
      <c r="A21" s="4" t="s">
        <v>49</v>
      </c>
      <c r="B21" s="5" t="s">
        <v>36</v>
      </c>
      <c r="C21" s="5" t="s">
        <v>19</v>
      </c>
      <c r="D21" s="6" t="n">
        <v>11.2</v>
      </c>
      <c r="E21" s="7" t="n">
        <v>284</v>
      </c>
      <c r="F21" s="7" t="n">
        <v>2550</v>
      </c>
      <c r="G21" s="8" t="n">
        <f aca="false">F21/4.184</f>
        <v>609.464627151052</v>
      </c>
      <c r="H21" s="7" t="n">
        <v>27.2</v>
      </c>
      <c r="I21" s="9" t="n">
        <f aca="false">E21/D21</f>
        <v>25.3571428571429</v>
      </c>
      <c r="J21" s="8" t="n">
        <f aca="false">F21/D21</f>
        <v>227.678571428571</v>
      </c>
      <c r="K21" s="8" t="n">
        <f aca="false">G21/D21</f>
        <v>54.4164845670582</v>
      </c>
      <c r="L21" s="10" t="n">
        <f aca="false">H21/D21</f>
        <v>2.42857142857143</v>
      </c>
    </row>
    <row r="22" customFormat="false" ht="15" hidden="false" customHeight="false" outlineLevel="0" collapsed="false">
      <c r="A22" s="4" t="s">
        <v>50</v>
      </c>
      <c r="B22" s="5" t="s">
        <v>36</v>
      </c>
      <c r="C22" s="5" t="s">
        <v>19</v>
      </c>
      <c r="D22" s="6" t="n">
        <v>11</v>
      </c>
      <c r="E22" s="7" t="n">
        <v>275</v>
      </c>
      <c r="F22" s="7" t="n">
        <v>2560</v>
      </c>
      <c r="G22" s="8" t="n">
        <f aca="false">F22/4.184</f>
        <v>611.854684512428</v>
      </c>
      <c r="H22" s="7" t="n">
        <v>26.6</v>
      </c>
      <c r="I22" s="9" t="n">
        <f aca="false">E22/D22</f>
        <v>25</v>
      </c>
      <c r="J22" s="8" t="n">
        <f aca="false">F22/D22</f>
        <v>232.727272727273</v>
      </c>
      <c r="K22" s="8" t="n">
        <f aca="false">G22/D22</f>
        <v>55.6231531374935</v>
      </c>
      <c r="L22" s="10" t="n">
        <f aca="false">H22/D22</f>
        <v>2.41818181818182</v>
      </c>
    </row>
    <row r="23" customFormat="false" ht="15" hidden="false" customHeight="false" outlineLevel="0" collapsed="false">
      <c r="A23" s="4" t="s">
        <v>47</v>
      </c>
      <c r="B23" s="5" t="s">
        <v>36</v>
      </c>
      <c r="C23" s="5" t="s">
        <v>19</v>
      </c>
      <c r="D23" s="6" t="n">
        <v>9.9</v>
      </c>
      <c r="E23" s="7" t="n">
        <v>264</v>
      </c>
      <c r="F23" s="7" t="n">
        <v>1720</v>
      </c>
      <c r="G23" s="8" t="n">
        <f aca="false">F23/4.184</f>
        <v>411.089866156788</v>
      </c>
      <c r="H23" s="7" t="n">
        <v>23.9</v>
      </c>
      <c r="I23" s="9" t="n">
        <f aca="false">E23/D23</f>
        <v>26.6666666666667</v>
      </c>
      <c r="J23" s="8" t="n">
        <f aca="false">F23/D23</f>
        <v>173.737373737374</v>
      </c>
      <c r="K23" s="8" t="n">
        <f aca="false">G23/D23</f>
        <v>41.524228904726</v>
      </c>
      <c r="L23" s="10" t="n">
        <f aca="false">H23/D23</f>
        <v>2.41414141414141</v>
      </c>
    </row>
    <row r="24" customFormat="false" ht="15" hidden="false" customHeight="false" outlineLevel="0" collapsed="false">
      <c r="A24" s="4" t="s">
        <v>60</v>
      </c>
      <c r="B24" s="5" t="s">
        <v>36</v>
      </c>
      <c r="C24" s="5" t="s">
        <v>19</v>
      </c>
      <c r="D24" s="6" t="n">
        <v>11.2</v>
      </c>
      <c r="E24" s="7" t="n">
        <v>250</v>
      </c>
      <c r="F24" s="7" t="n">
        <v>2320</v>
      </c>
      <c r="G24" s="8" t="n">
        <f aca="false">F24/4.184</f>
        <v>554.493307839388</v>
      </c>
      <c r="H24" s="7" t="n">
        <v>26.1</v>
      </c>
      <c r="I24" s="9" t="n">
        <f aca="false">E24/D24</f>
        <v>22.3214285714286</v>
      </c>
      <c r="J24" s="8" t="n">
        <f aca="false">F24/D24</f>
        <v>207.142857142857</v>
      </c>
      <c r="K24" s="8" t="n">
        <f aca="false">G24/D24</f>
        <v>49.5083310570882</v>
      </c>
      <c r="L24" s="10" t="n">
        <f aca="false">H24/D24</f>
        <v>2.33035714285714</v>
      </c>
    </row>
    <row r="25" customFormat="false" ht="15" hidden="false" customHeight="false" outlineLevel="0" collapsed="false">
      <c r="A25" s="4" t="s">
        <v>68</v>
      </c>
      <c r="B25" s="5" t="s">
        <v>55</v>
      </c>
      <c r="C25" s="5" t="s">
        <v>69</v>
      </c>
      <c r="D25" s="6" t="n">
        <v>15.8</v>
      </c>
      <c r="E25" s="7" t="n">
        <v>297</v>
      </c>
      <c r="F25" s="7" t="n">
        <v>3480</v>
      </c>
      <c r="G25" s="8" t="n">
        <f aca="false">F25/4.184</f>
        <v>831.739961759082</v>
      </c>
      <c r="H25" s="7" t="n">
        <v>34.8</v>
      </c>
      <c r="I25" s="9" t="n">
        <f aca="false">E25/D25</f>
        <v>18.7974683544304</v>
      </c>
      <c r="J25" s="8" t="n">
        <f aca="false">F25/D25</f>
        <v>220.253164556962</v>
      </c>
      <c r="K25" s="8" t="n">
        <f aca="false">G25/D25</f>
        <v>52.6417697315875</v>
      </c>
      <c r="L25" s="10" t="n">
        <f aca="false">H25/D25</f>
        <v>2.20253164556962</v>
      </c>
    </row>
    <row r="26" customFormat="false" ht="15" hidden="false" customHeight="false" outlineLevel="0" collapsed="false">
      <c r="A26" s="4" t="s">
        <v>40</v>
      </c>
      <c r="B26" s="5" t="s">
        <v>41</v>
      </c>
      <c r="C26" s="5" t="s">
        <v>42</v>
      </c>
      <c r="D26" s="6" t="n">
        <v>9.9</v>
      </c>
      <c r="E26" s="7" t="n">
        <v>286</v>
      </c>
      <c r="F26" s="7" t="n">
        <v>3260</v>
      </c>
      <c r="G26" s="8" t="n">
        <f aca="false">F26/4.184</f>
        <v>779.158699808795</v>
      </c>
      <c r="H26" s="7" t="n">
        <v>21.2</v>
      </c>
      <c r="I26" s="9" t="n">
        <f aca="false">E26/D26</f>
        <v>28.8888888888889</v>
      </c>
      <c r="J26" s="8" t="n">
        <f aca="false">F26/D26</f>
        <v>329.292929292929</v>
      </c>
      <c r="K26" s="8" t="n">
        <f aca="false">G26/D26</f>
        <v>78.7028989705854</v>
      </c>
      <c r="L26" s="10" t="n">
        <f aca="false">H26/D26</f>
        <v>2.14141414141414</v>
      </c>
    </row>
    <row r="27" customFormat="false" ht="15" hidden="false" customHeight="false" outlineLevel="0" collapsed="false">
      <c r="A27" s="4" t="s">
        <v>70</v>
      </c>
      <c r="B27" s="5" t="s">
        <v>55</v>
      </c>
      <c r="C27" s="5" t="s">
        <v>69</v>
      </c>
      <c r="D27" s="6" t="n">
        <v>5.6</v>
      </c>
      <c r="E27" s="7" t="n">
        <v>99</v>
      </c>
      <c r="F27" s="7" t="n">
        <v>1160</v>
      </c>
      <c r="G27" s="8" t="n">
        <f aca="false">F27/4.184</f>
        <v>277.246653919694</v>
      </c>
      <c r="H27" s="7" t="n">
        <v>11.6</v>
      </c>
      <c r="I27" s="9" t="n">
        <f aca="false">E27/D27</f>
        <v>17.6785714285714</v>
      </c>
      <c r="J27" s="8" t="n">
        <f aca="false">F27/D27</f>
        <v>207.142857142857</v>
      </c>
      <c r="K27" s="8" t="n">
        <f aca="false">G27/D27</f>
        <v>49.5083310570882</v>
      </c>
      <c r="L27" s="10" t="n">
        <f aca="false">H27/D27</f>
        <v>2.07142857142857</v>
      </c>
    </row>
    <row r="28" customFormat="false" ht="15" hidden="false" customHeight="false" outlineLevel="0" collapsed="false">
      <c r="A28" s="4" t="s">
        <v>57</v>
      </c>
      <c r="B28" s="5" t="s">
        <v>15</v>
      </c>
      <c r="C28" s="5" t="s">
        <v>58</v>
      </c>
      <c r="D28" s="6" t="n">
        <v>7.4</v>
      </c>
      <c r="E28" s="7" t="n">
        <v>180</v>
      </c>
      <c r="F28" s="7" t="n">
        <v>2710</v>
      </c>
      <c r="G28" s="8" t="n">
        <f aca="false">F28/4.184</f>
        <v>647.705544933078</v>
      </c>
      <c r="H28" s="7" t="n">
        <v>14.9</v>
      </c>
      <c r="I28" s="9" t="n">
        <f aca="false">E28/D28</f>
        <v>24.3243243243243</v>
      </c>
      <c r="J28" s="8" t="n">
        <f aca="false">F28/D28</f>
        <v>366.216216216216</v>
      </c>
      <c r="K28" s="8" t="n">
        <f aca="false">G28/D28</f>
        <v>87.5277763423079</v>
      </c>
      <c r="L28" s="10" t="n">
        <f aca="false">H28/D28</f>
        <v>2.01351351351351</v>
      </c>
    </row>
    <row r="29" customFormat="false" ht="15" hidden="false" customHeight="false" outlineLevel="0" collapsed="false">
      <c r="A29" s="4" t="s">
        <v>74</v>
      </c>
      <c r="B29" s="5" t="s">
        <v>18</v>
      </c>
      <c r="C29" s="5" t="s">
        <v>75</v>
      </c>
      <c r="D29" s="6" t="n">
        <v>9.3</v>
      </c>
      <c r="E29" s="7" t="n">
        <v>110</v>
      </c>
      <c r="F29" s="7" t="n">
        <v>1580</v>
      </c>
      <c r="G29" s="8" t="n">
        <f aca="false">F29/4.184</f>
        <v>377.629063097514</v>
      </c>
      <c r="H29" s="7" t="n">
        <v>17.6</v>
      </c>
      <c r="I29" s="9" t="n">
        <f aca="false">E29/D29</f>
        <v>11.8279569892473</v>
      </c>
      <c r="J29" s="8" t="n">
        <f aca="false">F29/D29</f>
        <v>169.89247311828</v>
      </c>
      <c r="K29" s="8" t="n">
        <f aca="false">G29/D29</f>
        <v>40.6052756018833</v>
      </c>
      <c r="L29" s="10" t="n">
        <f aca="false">H29/D29</f>
        <v>1.89247311827957</v>
      </c>
    </row>
    <row r="30" customFormat="false" ht="15" hidden="false" customHeight="false" outlineLevel="0" collapsed="false">
      <c r="A30" s="4" t="s">
        <v>65</v>
      </c>
      <c r="B30" s="5" t="s">
        <v>18</v>
      </c>
      <c r="C30" s="5" t="s">
        <v>66</v>
      </c>
      <c r="D30" s="6" t="n">
        <v>14.5</v>
      </c>
      <c r="E30" s="7" t="n">
        <v>284</v>
      </c>
      <c r="F30" s="7" t="n">
        <v>1280</v>
      </c>
      <c r="G30" s="8" t="n">
        <f aca="false">F30/4.184</f>
        <v>305.927342256214</v>
      </c>
      <c r="H30" s="7" t="n">
        <v>27.4</v>
      </c>
      <c r="I30" s="9" t="n">
        <f aca="false">E30/D30</f>
        <v>19.5862068965517</v>
      </c>
      <c r="J30" s="8" t="n">
        <f aca="false">F30/D30</f>
        <v>88.2758620689655</v>
      </c>
      <c r="K30" s="8" t="n">
        <f aca="false">G30/D30</f>
        <v>21.0984373969803</v>
      </c>
      <c r="L30" s="10" t="n">
        <f aca="false">H30/D30</f>
        <v>1.88965517241379</v>
      </c>
    </row>
    <row r="31" customFormat="false" ht="15" hidden="false" customHeight="false" outlineLevel="0" collapsed="false">
      <c r="A31" s="4" t="s">
        <v>73</v>
      </c>
      <c r="B31" s="5" t="s">
        <v>41</v>
      </c>
      <c r="C31" s="5" t="s">
        <v>42</v>
      </c>
      <c r="D31" s="6" t="n">
        <v>11.1</v>
      </c>
      <c r="E31" s="7" t="n">
        <v>147</v>
      </c>
      <c r="F31" s="7" t="n">
        <v>1420</v>
      </c>
      <c r="G31" s="8" t="n">
        <f aca="false">F31/4.184</f>
        <v>339.388145315488</v>
      </c>
      <c r="H31" s="7" t="n">
        <v>19.8</v>
      </c>
      <c r="I31" s="9" t="n">
        <f aca="false">E31/D31</f>
        <v>13.2432432432432</v>
      </c>
      <c r="J31" s="8" t="n">
        <f aca="false">F31/D31</f>
        <v>127.927927927928</v>
      </c>
      <c r="K31" s="8" t="n">
        <f aca="false">G31/D31</f>
        <v>30.5755085869809</v>
      </c>
      <c r="L31" s="10" t="n">
        <f aca="false">H31/D31</f>
        <v>1.78378378378378</v>
      </c>
    </row>
    <row r="32" customFormat="false" ht="15" hidden="false" customHeight="false" outlineLevel="0" collapsed="false">
      <c r="A32" s="4" t="s">
        <v>72</v>
      </c>
      <c r="B32" s="5" t="s">
        <v>41</v>
      </c>
      <c r="C32" s="5" t="s">
        <v>42</v>
      </c>
      <c r="D32" s="6" t="n">
        <v>7.6</v>
      </c>
      <c r="E32" s="7" t="n">
        <v>106</v>
      </c>
      <c r="F32" s="7" t="n">
        <v>1010</v>
      </c>
      <c r="G32" s="8" t="n">
        <f aca="false">F32/4.184</f>
        <v>241.395793499044</v>
      </c>
      <c r="H32" s="7" t="n">
        <v>13.3</v>
      </c>
      <c r="I32" s="9" t="n">
        <f aca="false">E32/D32</f>
        <v>13.9473684210526</v>
      </c>
      <c r="J32" s="8" t="n">
        <f aca="false">F32/D32</f>
        <v>132.894736842105</v>
      </c>
      <c r="K32" s="8" t="n">
        <f aca="false">G32/D32</f>
        <v>31.7626044077689</v>
      </c>
      <c r="L32" s="10" t="n">
        <f aca="false">H32/D32</f>
        <v>1.75</v>
      </c>
    </row>
    <row r="33" customFormat="false" ht="15" hidden="false" customHeight="false" outlineLevel="0" collapsed="false">
      <c r="A33" s="4" t="s">
        <v>45</v>
      </c>
      <c r="B33" s="5" t="s">
        <v>23</v>
      </c>
      <c r="C33" s="5"/>
      <c r="D33" s="6" t="n">
        <v>4</v>
      </c>
      <c r="E33" s="7" t="n">
        <v>108</v>
      </c>
      <c r="F33" s="7" t="n">
        <v>1670</v>
      </c>
      <c r="G33" s="8" t="n">
        <f aca="false">F33/4.184</f>
        <v>399.139579349904</v>
      </c>
      <c r="H33" s="7" t="n">
        <v>5.8</v>
      </c>
      <c r="I33" s="9" t="n">
        <f aca="false">E33/D33</f>
        <v>27</v>
      </c>
      <c r="J33" s="8" t="n">
        <f aca="false">F33/D33</f>
        <v>417.5</v>
      </c>
      <c r="K33" s="8" t="n">
        <f aca="false">G33/D33</f>
        <v>99.7848948374761</v>
      </c>
      <c r="L33" s="10" t="n">
        <f aca="false">H33/D33</f>
        <v>1.45</v>
      </c>
    </row>
    <row r="34" customFormat="false" ht="15" hidden="false" customHeight="false" outlineLevel="0" collapsed="false">
      <c r="A34" s="4" t="s">
        <v>28</v>
      </c>
      <c r="B34" s="5" t="s">
        <v>15</v>
      </c>
      <c r="C34" s="5" t="s">
        <v>29</v>
      </c>
      <c r="D34" s="6" t="n">
        <v>3.7</v>
      </c>
      <c r="E34" s="7" t="n">
        <v>120</v>
      </c>
      <c r="F34" s="7" t="n">
        <v>1500</v>
      </c>
      <c r="G34" s="8" t="n">
        <f aca="false">F34/4.184</f>
        <v>358.508604206501</v>
      </c>
      <c r="H34" s="7" t="n">
        <v>5.3</v>
      </c>
      <c r="I34" s="9" t="n">
        <f aca="false">E34/D34</f>
        <v>32.4324324324324</v>
      </c>
      <c r="J34" s="8" t="n">
        <f aca="false">F34/D34</f>
        <v>405.405405405405</v>
      </c>
      <c r="K34" s="8" t="n">
        <f aca="false">G34/D34</f>
        <v>96.8942173531084</v>
      </c>
      <c r="L34" s="10" t="n">
        <f aca="false">H34/D34</f>
        <v>1.43243243243243</v>
      </c>
    </row>
    <row r="35" customFormat="false" ht="15" hidden="false" customHeight="false" outlineLevel="0" collapsed="false">
      <c r="A35" s="4" t="s">
        <v>31</v>
      </c>
      <c r="B35" s="5" t="s">
        <v>15</v>
      </c>
      <c r="C35" s="5" t="s">
        <v>29</v>
      </c>
      <c r="D35" s="6" t="n">
        <v>5.7</v>
      </c>
      <c r="E35" s="7" t="n">
        <v>180</v>
      </c>
      <c r="F35" s="7" t="n">
        <v>2250</v>
      </c>
      <c r="G35" s="8" t="n">
        <f aca="false">F35/4.184</f>
        <v>537.762906309751</v>
      </c>
      <c r="H35" s="7" t="n">
        <v>7.9</v>
      </c>
      <c r="I35" s="9" t="n">
        <f aca="false">E35/D35</f>
        <v>31.5789473684211</v>
      </c>
      <c r="J35" s="8" t="n">
        <f aca="false">F35/D35</f>
        <v>394.736842105263</v>
      </c>
      <c r="K35" s="8" t="n">
        <f aca="false">G35/D35</f>
        <v>94.3443695280266</v>
      </c>
      <c r="L35" s="10" t="n">
        <f aca="false">H35/D35</f>
        <v>1.3859649122807</v>
      </c>
    </row>
    <row r="36" customFormat="false" ht="15" hidden="false" customHeight="false" outlineLevel="0" collapsed="false">
      <c r="A36" s="4" t="s">
        <v>71</v>
      </c>
      <c r="B36" s="5" t="s">
        <v>36</v>
      </c>
      <c r="C36" s="5" t="s">
        <v>66</v>
      </c>
      <c r="D36" s="6" t="n">
        <v>10.5</v>
      </c>
      <c r="E36" s="7" t="n">
        <v>152</v>
      </c>
      <c r="F36" s="7" t="n">
        <v>648</v>
      </c>
      <c r="G36" s="8" t="n">
        <f aca="false">F36/4.184</f>
        <v>154.875717017208</v>
      </c>
      <c r="H36" s="7" t="n">
        <v>13.8</v>
      </c>
      <c r="I36" s="9" t="n">
        <f aca="false">E36/D36</f>
        <v>14.4761904761905</v>
      </c>
      <c r="J36" s="8" t="n">
        <f aca="false">F36/D36</f>
        <v>61.7142857142857</v>
      </c>
      <c r="K36" s="8" t="n">
        <f aca="false">G36/D36</f>
        <v>14.7500682873532</v>
      </c>
      <c r="L36" s="10" t="n">
        <f aca="false">H36/D36</f>
        <v>1.31428571428571</v>
      </c>
    </row>
    <row r="37" customFormat="false" ht="15" hidden="false" customHeight="false" outlineLevel="0" collapsed="false">
      <c r="A37" s="4" t="s">
        <v>63</v>
      </c>
      <c r="B37" s="5" t="s">
        <v>55</v>
      </c>
      <c r="C37" s="5" t="s">
        <v>64</v>
      </c>
      <c r="D37" s="6" t="n">
        <v>5.6</v>
      </c>
      <c r="E37" s="7" t="n">
        <v>118</v>
      </c>
      <c r="F37" s="7" t="n">
        <v>1090</v>
      </c>
      <c r="G37" s="8" t="n">
        <f aca="false">F37/4.184</f>
        <v>260.516252390057</v>
      </c>
      <c r="H37" s="7" t="n">
        <v>7.3</v>
      </c>
      <c r="I37" s="9" t="n">
        <f aca="false">E37/D37</f>
        <v>21.0714285714286</v>
      </c>
      <c r="J37" s="8" t="n">
        <f aca="false">F37/D37</f>
        <v>194.642857142857</v>
      </c>
      <c r="K37" s="8" t="n">
        <f aca="false">G37/D37</f>
        <v>46.5207593553674</v>
      </c>
      <c r="L37" s="10" t="n">
        <f aca="false">H37/D37</f>
        <v>1.30357142857143</v>
      </c>
    </row>
    <row r="38" customFormat="false" ht="15" hidden="false" customHeight="false" outlineLevel="0" collapsed="false">
      <c r="A38" s="4" t="s">
        <v>32</v>
      </c>
      <c r="B38" s="5" t="s">
        <v>15</v>
      </c>
      <c r="C38" s="5" t="s">
        <v>33</v>
      </c>
      <c r="D38" s="6" t="n">
        <v>7.4</v>
      </c>
      <c r="E38" s="7" t="n">
        <v>232</v>
      </c>
      <c r="F38" s="7" t="n">
        <v>3160</v>
      </c>
      <c r="G38" s="8" t="n">
        <f aca="false">F38/4.184</f>
        <v>755.258126195029</v>
      </c>
      <c r="H38" s="7" t="n">
        <v>9.3</v>
      </c>
      <c r="I38" s="9" t="n">
        <f aca="false">E38/D38</f>
        <v>31.3513513513514</v>
      </c>
      <c r="J38" s="8" t="n">
        <f aca="false">F38/D38</f>
        <v>427.027027027027</v>
      </c>
      <c r="K38" s="8" t="n">
        <f aca="false">G38/D38</f>
        <v>102.061908945274</v>
      </c>
      <c r="L38" s="10" t="n">
        <f aca="false">H38/D38</f>
        <v>1.25675675675676</v>
      </c>
    </row>
    <row r="39" customFormat="false" ht="15" hidden="false" customHeight="false" outlineLevel="0" collapsed="false">
      <c r="A39" s="4" t="s">
        <v>22</v>
      </c>
      <c r="B39" s="5" t="s">
        <v>23</v>
      </c>
      <c r="C39" s="5"/>
      <c r="D39" s="6" t="n">
        <v>2.5</v>
      </c>
      <c r="E39" s="7" t="n">
        <v>95</v>
      </c>
      <c r="F39" s="7" t="n">
        <v>687</v>
      </c>
      <c r="G39" s="8" t="n">
        <f aca="false">F39/4.184</f>
        <v>164.196940726577</v>
      </c>
      <c r="H39" s="7" t="n">
        <v>3</v>
      </c>
      <c r="I39" s="9" t="n">
        <f aca="false">E39/D39</f>
        <v>38</v>
      </c>
      <c r="J39" s="8" t="n">
        <f aca="false">F39/D39</f>
        <v>274.8</v>
      </c>
      <c r="K39" s="8" t="n">
        <f aca="false">G39/D39</f>
        <v>65.678776290631</v>
      </c>
      <c r="L39" s="10" t="n">
        <f aca="false">H39/D39</f>
        <v>1.2</v>
      </c>
    </row>
    <row r="40" customFormat="false" ht="15" hidden="false" customHeight="false" outlineLevel="0" collapsed="false">
      <c r="A40" s="4" t="s">
        <v>20</v>
      </c>
      <c r="B40" s="5" t="s">
        <v>15</v>
      </c>
      <c r="C40" s="5" t="s">
        <v>21</v>
      </c>
      <c r="D40" s="6" t="n">
        <v>10.1</v>
      </c>
      <c r="E40" s="7" t="n">
        <v>385</v>
      </c>
      <c r="F40" s="7" t="n">
        <v>4310</v>
      </c>
      <c r="G40" s="8" t="n">
        <f aca="false">F40/4.184</f>
        <v>1030.11472275335</v>
      </c>
      <c r="H40" s="7" t="n">
        <v>12</v>
      </c>
      <c r="I40" s="9" t="n">
        <f aca="false">E40/D40</f>
        <v>38.1188118811881</v>
      </c>
      <c r="J40" s="8" t="n">
        <f aca="false">F40/D40</f>
        <v>426.732673267327</v>
      </c>
      <c r="K40" s="8" t="n">
        <f aca="false">G40/D40</f>
        <v>101.991556708252</v>
      </c>
      <c r="L40" s="10" t="n">
        <f aca="false">H40/D40</f>
        <v>1.18811881188119</v>
      </c>
    </row>
    <row r="41" customFormat="false" ht="15" hidden="false" customHeight="false" outlineLevel="0" collapsed="false">
      <c r="A41" s="4" t="s">
        <v>46</v>
      </c>
      <c r="B41" s="5" t="s">
        <v>23</v>
      </c>
      <c r="C41" s="5" t="s">
        <v>25</v>
      </c>
      <c r="D41" s="6" t="n">
        <v>6.5</v>
      </c>
      <c r="E41" s="7" t="n">
        <v>175</v>
      </c>
      <c r="F41" s="7" t="n">
        <v>2010</v>
      </c>
      <c r="G41" s="8" t="n">
        <f aca="false">F41/4.184</f>
        <v>480.401529636711</v>
      </c>
      <c r="H41" s="7" t="n">
        <v>6.8</v>
      </c>
      <c r="I41" s="9" t="n">
        <f aca="false">E41/D41</f>
        <v>26.9230769230769</v>
      </c>
      <c r="J41" s="8" t="n">
        <f aca="false">F41/D41</f>
        <v>309.230769230769</v>
      </c>
      <c r="K41" s="8" t="n">
        <f aca="false">G41/D41</f>
        <v>73.9079276364171</v>
      </c>
      <c r="L41" s="10" t="n">
        <f aca="false">H41/D41</f>
        <v>1.04615384615385</v>
      </c>
    </row>
    <row r="42" customFormat="false" ht="15" hidden="false" customHeight="false" outlineLevel="0" collapsed="false">
      <c r="A42" s="4" t="s">
        <v>27</v>
      </c>
      <c r="B42" s="5" t="s">
        <v>23</v>
      </c>
      <c r="C42" s="5" t="s">
        <v>25</v>
      </c>
      <c r="D42" s="6" t="n">
        <v>5.5</v>
      </c>
      <c r="E42" s="7" t="n">
        <v>183</v>
      </c>
      <c r="F42" s="7" t="n">
        <v>1310</v>
      </c>
      <c r="G42" s="8" t="n">
        <f aca="false">F42/4.184</f>
        <v>313.097514340344</v>
      </c>
      <c r="H42" s="7" t="n">
        <v>5.5</v>
      </c>
      <c r="I42" s="9" t="n">
        <f aca="false">E42/D42</f>
        <v>33.2727272727273</v>
      </c>
      <c r="J42" s="8" t="n">
        <f aca="false">F42/D42</f>
        <v>238.181818181818</v>
      </c>
      <c r="K42" s="8" t="n">
        <f aca="false">G42/D42</f>
        <v>56.9268207891535</v>
      </c>
      <c r="L42" s="10" t="n">
        <f aca="false">H42/D42</f>
        <v>1</v>
      </c>
    </row>
    <row r="43" customFormat="false" ht="15" hidden="false" customHeight="false" outlineLevel="0" collapsed="false">
      <c r="A43" s="4" t="s">
        <v>24</v>
      </c>
      <c r="B43" s="5" t="s">
        <v>23</v>
      </c>
      <c r="C43" s="5" t="s">
        <v>25</v>
      </c>
      <c r="D43" s="6" t="n">
        <v>4.5</v>
      </c>
      <c r="E43" s="7" t="n">
        <v>165</v>
      </c>
      <c r="F43" s="7" t="n">
        <v>1040</v>
      </c>
      <c r="G43" s="8" t="n">
        <f aca="false">F43/4.184</f>
        <v>248.565965583174</v>
      </c>
      <c r="H43" s="7" t="n">
        <v>4.4</v>
      </c>
      <c r="I43" s="9" t="n">
        <f aca="false">E43/D43</f>
        <v>36.6666666666667</v>
      </c>
      <c r="J43" s="8" t="n">
        <f aca="false">F43/D43</f>
        <v>231.111111111111</v>
      </c>
      <c r="K43" s="8" t="n">
        <f aca="false">G43/D43</f>
        <v>55.2368812407053</v>
      </c>
      <c r="L43" s="10" t="n">
        <f aca="false">H43/D43</f>
        <v>0.977777777777778</v>
      </c>
    </row>
    <row r="44" customFormat="false" ht="15" hidden="false" customHeight="false" outlineLevel="0" collapsed="false">
      <c r="A44" s="4" t="s">
        <v>34</v>
      </c>
      <c r="B44" s="5" t="s">
        <v>23</v>
      </c>
      <c r="C44" s="5" t="s">
        <v>25</v>
      </c>
      <c r="D44" s="6" t="n">
        <v>3.5</v>
      </c>
      <c r="E44" s="7" t="n">
        <v>108</v>
      </c>
      <c r="F44" s="7" t="n">
        <v>652</v>
      </c>
      <c r="G44" s="8" t="n">
        <f aca="false">F44/4.184</f>
        <v>155.831739961759</v>
      </c>
      <c r="H44" s="7" t="n">
        <v>2.9</v>
      </c>
      <c r="I44" s="9" t="n">
        <f aca="false">E44/D44</f>
        <v>30.8571428571429</v>
      </c>
      <c r="J44" s="8" t="n">
        <f aca="false">F44/D44</f>
        <v>186.285714285714</v>
      </c>
      <c r="K44" s="8" t="n">
        <f aca="false">G44/D44</f>
        <v>44.5233542747883</v>
      </c>
      <c r="L44" s="10" t="n">
        <f aca="false">H44/D44</f>
        <v>0.828571428571429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"/>
    <col collapsed="false" customWidth="true" hidden="false" outlineLevel="0" max="3" min="3" style="0" width="34"/>
    <col collapsed="false" customWidth="true" hidden="false" outlineLevel="0" max="4" min="4" style="0" width="10"/>
    <col collapsed="false" customWidth="true" hidden="false" outlineLevel="0" max="5" min="5" style="0" width="9"/>
    <col collapsed="false" customWidth="true" hidden="false" outlineLevel="0" max="7" min="6" style="0" width="11"/>
    <col collapsed="false" customWidth="true" hidden="false" outlineLevel="0" max="9" min="8" style="0" width="10"/>
    <col collapsed="false" customWidth="true" hidden="false" outlineLevel="0" max="11" min="10" style="0" width="8"/>
    <col collapsed="false" customWidth="true" hidden="false" outlineLevel="0" max="12" min="12" style="0" width="12"/>
  </cols>
  <sheetData>
    <row r="1" customFormat="false" ht="19.7" hidden="false" customHeight="false" outlineLevel="0" collapsed="false">
      <c r="A1" s="1" t="s">
        <v>80</v>
      </c>
    </row>
    <row r="2" customFormat="false" ht="15" hidden="false" customHeight="false" outlineLevel="0" collapsed="false">
      <c r="A2" s="2" t="s">
        <v>81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</row>
    <row r="5" customFormat="false" ht="15" hidden="false" customHeight="false" outlineLevel="0" collapsed="false">
      <c r="A5" s="4" t="s">
        <v>27</v>
      </c>
      <c r="B5" s="5" t="s">
        <v>23</v>
      </c>
      <c r="C5" s="5" t="s">
        <v>25</v>
      </c>
      <c r="D5" s="6" t="n">
        <v>5.5</v>
      </c>
      <c r="E5" s="7" t="n">
        <v>183</v>
      </c>
      <c r="F5" s="7" t="n">
        <v>1310</v>
      </c>
      <c r="G5" s="8" t="n">
        <f aca="false">F5/4.184</f>
        <v>313.097514340344</v>
      </c>
      <c r="H5" s="7" t="n">
        <v>5.5</v>
      </c>
      <c r="I5" s="9" t="n">
        <f aca="false">E5/D5</f>
        <v>33.2727272727273</v>
      </c>
      <c r="J5" s="8" t="n">
        <f aca="false">F5/D5</f>
        <v>238.181818181818</v>
      </c>
      <c r="K5" s="8" t="n">
        <f aca="false">G5/D5</f>
        <v>56.9268207891535</v>
      </c>
      <c r="L5" s="10" t="n">
        <f aca="false">H5/D5</f>
        <v>1</v>
      </c>
    </row>
    <row r="6" customFormat="false" ht="15" hidden="false" customHeight="false" outlineLevel="0" collapsed="false">
      <c r="A6" s="4" t="s">
        <v>45</v>
      </c>
      <c r="B6" s="5" t="s">
        <v>23</v>
      </c>
      <c r="C6" s="5"/>
      <c r="D6" s="6" t="n">
        <v>4</v>
      </c>
      <c r="E6" s="7" t="n">
        <v>108</v>
      </c>
      <c r="F6" s="7" t="n">
        <v>1670</v>
      </c>
      <c r="G6" s="8" t="n">
        <f aca="false">F6/4.184</f>
        <v>399.139579349904</v>
      </c>
      <c r="H6" s="7" t="n">
        <v>5.8</v>
      </c>
      <c r="I6" s="9" t="n">
        <f aca="false">E6/D6</f>
        <v>27</v>
      </c>
      <c r="J6" s="8" t="n">
        <f aca="false">F6/D6</f>
        <v>417.5</v>
      </c>
      <c r="K6" s="8" t="n">
        <f aca="false">G6/D6</f>
        <v>99.7848948374761</v>
      </c>
      <c r="L6" s="10" t="n">
        <f aca="false">H6/D6</f>
        <v>1.45</v>
      </c>
    </row>
    <row r="7" customFormat="false" ht="15" hidden="false" customHeight="false" outlineLevel="0" collapsed="false">
      <c r="A7" s="4" t="s">
        <v>24</v>
      </c>
      <c r="B7" s="5" t="s">
        <v>23</v>
      </c>
      <c r="C7" s="5" t="s">
        <v>25</v>
      </c>
      <c r="D7" s="6" t="n">
        <v>4.5</v>
      </c>
      <c r="E7" s="7" t="n">
        <v>165</v>
      </c>
      <c r="F7" s="7" t="n">
        <v>1040</v>
      </c>
      <c r="G7" s="8" t="n">
        <f aca="false">F7/4.184</f>
        <v>248.565965583174</v>
      </c>
      <c r="H7" s="7" t="n">
        <v>4.4</v>
      </c>
      <c r="I7" s="9" t="n">
        <f aca="false">E7/D7</f>
        <v>36.6666666666667</v>
      </c>
      <c r="J7" s="8" t="n">
        <f aca="false">F7/D7</f>
        <v>231.111111111111</v>
      </c>
      <c r="K7" s="8" t="n">
        <f aca="false">G7/D7</f>
        <v>55.2368812407053</v>
      </c>
      <c r="L7" s="10" t="n">
        <f aca="false">H7/D7</f>
        <v>0.977777777777778</v>
      </c>
    </row>
    <row r="8" customFormat="false" ht="15" hidden="false" customHeight="false" outlineLevel="0" collapsed="false">
      <c r="A8" s="4" t="s">
        <v>34</v>
      </c>
      <c r="B8" s="5" t="s">
        <v>23</v>
      </c>
      <c r="C8" s="5" t="s">
        <v>25</v>
      </c>
      <c r="D8" s="6" t="n">
        <v>3.5</v>
      </c>
      <c r="E8" s="7" t="n">
        <v>108</v>
      </c>
      <c r="F8" s="7" t="n">
        <v>652</v>
      </c>
      <c r="G8" s="8" t="n">
        <f aca="false">F8/4.184</f>
        <v>155.831739961759</v>
      </c>
      <c r="H8" s="7" t="n">
        <v>2.9</v>
      </c>
      <c r="I8" s="9" t="n">
        <f aca="false">E8/D8</f>
        <v>30.8571428571429</v>
      </c>
      <c r="J8" s="8" t="n">
        <f aca="false">F8/D8</f>
        <v>186.285714285714</v>
      </c>
      <c r="K8" s="8" t="n">
        <f aca="false">G8/D8</f>
        <v>44.5233542747883</v>
      </c>
      <c r="L8" s="10" t="n">
        <f aca="false">H8/D8</f>
        <v>0.828571428571429</v>
      </c>
    </row>
    <row r="9" customFormat="false" ht="15" hidden="false" customHeight="false" outlineLevel="0" collapsed="false">
      <c r="A9" s="4" t="s">
        <v>46</v>
      </c>
      <c r="B9" s="5" t="s">
        <v>23</v>
      </c>
      <c r="C9" s="5" t="s">
        <v>25</v>
      </c>
      <c r="D9" s="6" t="n">
        <v>6.5</v>
      </c>
      <c r="E9" s="7" t="n">
        <v>175</v>
      </c>
      <c r="F9" s="7" t="n">
        <v>2010</v>
      </c>
      <c r="G9" s="8" t="n">
        <f aca="false">F9/4.184</f>
        <v>480.401529636711</v>
      </c>
      <c r="H9" s="7" t="n">
        <v>6.8</v>
      </c>
      <c r="I9" s="9" t="n">
        <f aca="false">E9/D9</f>
        <v>26.9230769230769</v>
      </c>
      <c r="J9" s="8" t="n">
        <f aca="false">F9/D9</f>
        <v>309.230769230769</v>
      </c>
      <c r="K9" s="8" t="n">
        <f aca="false">G9/D9</f>
        <v>73.9079276364171</v>
      </c>
      <c r="L9" s="10" t="n">
        <f aca="false">H9/D9</f>
        <v>1.04615384615385</v>
      </c>
    </row>
    <row r="10" customFormat="false" ht="15" hidden="false" customHeight="false" outlineLevel="0" collapsed="false">
      <c r="A10" s="4" t="s">
        <v>22</v>
      </c>
      <c r="B10" s="5" t="s">
        <v>23</v>
      </c>
      <c r="C10" s="5"/>
      <c r="D10" s="6" t="n">
        <v>2.5</v>
      </c>
      <c r="E10" s="7" t="n">
        <v>95</v>
      </c>
      <c r="F10" s="7" t="n">
        <v>687</v>
      </c>
      <c r="G10" s="8" t="n">
        <f aca="false">F10/4.184</f>
        <v>164.196940726577</v>
      </c>
      <c r="H10" s="7" t="n">
        <v>3</v>
      </c>
      <c r="I10" s="9" t="n">
        <f aca="false">E10/D10</f>
        <v>38</v>
      </c>
      <c r="J10" s="8" t="n">
        <f aca="false">F10/D10</f>
        <v>274.8</v>
      </c>
      <c r="K10" s="8" t="n">
        <f aca="false">G10/D10</f>
        <v>65.678776290631</v>
      </c>
      <c r="L10" s="10" t="n">
        <f aca="false">H10/D10</f>
        <v>1.2</v>
      </c>
    </row>
    <row r="11" customFormat="false" ht="15" hidden="false" customHeight="false" outlineLevel="0" collapsed="false">
      <c r="A11" s="4" t="s">
        <v>51</v>
      </c>
      <c r="B11" s="5" t="s">
        <v>52</v>
      </c>
      <c r="C11" s="5" t="s">
        <v>53</v>
      </c>
      <c r="D11" s="6" t="n">
        <v>9.5</v>
      </c>
      <c r="E11" s="7" t="n">
        <v>235</v>
      </c>
      <c r="F11" s="7" t="n">
        <v>2490</v>
      </c>
      <c r="G11" s="8" t="n">
        <f aca="false">F11/4.184</f>
        <v>595.124282982792</v>
      </c>
      <c r="H11" s="7" t="n">
        <v>27</v>
      </c>
      <c r="I11" s="9" t="n">
        <f aca="false">E11/D11</f>
        <v>24.7368421052632</v>
      </c>
      <c r="J11" s="8" t="n">
        <f aca="false">F11/D11</f>
        <v>262.105263157895</v>
      </c>
      <c r="K11" s="8" t="n">
        <f aca="false">G11/D11</f>
        <v>62.6446613666096</v>
      </c>
      <c r="L11" s="10" t="n">
        <f aca="false">H11/D11</f>
        <v>2.84210526315789</v>
      </c>
    </row>
    <row r="12" customFormat="false" ht="15" hidden="false" customHeight="false" outlineLevel="0" collapsed="false">
      <c r="A12" s="4" t="s">
        <v>30</v>
      </c>
      <c r="B12" s="5" t="s">
        <v>18</v>
      </c>
      <c r="C12" s="5" t="s">
        <v>19</v>
      </c>
      <c r="D12" s="6" t="n">
        <v>14.2</v>
      </c>
      <c r="E12" s="7" t="n">
        <v>455</v>
      </c>
      <c r="F12" s="7" t="n">
        <v>2780</v>
      </c>
      <c r="G12" s="8" t="n">
        <f aca="false">F12/4.184</f>
        <v>664.435946462715</v>
      </c>
      <c r="H12" s="7" t="n">
        <v>42.7</v>
      </c>
      <c r="I12" s="9" t="n">
        <f aca="false">E12/D12</f>
        <v>32.0422535211268</v>
      </c>
      <c r="J12" s="8" t="n">
        <f aca="false">F12/D12</f>
        <v>195.774647887324</v>
      </c>
      <c r="K12" s="8" t="n">
        <f aca="false">G12/D12</f>
        <v>46.7912638354025</v>
      </c>
      <c r="L12" s="10" t="n">
        <f aca="false">H12/D12</f>
        <v>3.00704225352113</v>
      </c>
    </row>
    <row r="13" customFormat="false" ht="15" hidden="false" customHeight="false" outlineLevel="0" collapsed="false">
      <c r="A13" s="4" t="s">
        <v>26</v>
      </c>
      <c r="B13" s="5" t="s">
        <v>18</v>
      </c>
      <c r="C13" s="5" t="s">
        <v>19</v>
      </c>
      <c r="D13" s="6" t="n">
        <v>14.2</v>
      </c>
      <c r="E13" s="7" t="n">
        <v>480</v>
      </c>
      <c r="F13" s="7" t="n">
        <v>3250</v>
      </c>
      <c r="G13" s="8" t="n">
        <f aca="false">F13/4.184</f>
        <v>776.768642447419</v>
      </c>
      <c r="H13" s="7" t="n">
        <v>47.2</v>
      </c>
      <c r="I13" s="9" t="n">
        <f aca="false">E13/D13</f>
        <v>33.8028169014085</v>
      </c>
      <c r="J13" s="8" t="n">
        <f aca="false">F13/D13</f>
        <v>228.87323943662</v>
      </c>
      <c r="K13" s="8" t="n">
        <f aca="false">G13/D13</f>
        <v>54.7020170737619</v>
      </c>
      <c r="L13" s="10" t="n">
        <f aca="false">H13/D13</f>
        <v>3.32394366197183</v>
      </c>
    </row>
    <row r="14" customFormat="false" ht="15" hidden="false" customHeight="false" outlineLevel="0" collapsed="false">
      <c r="A14" s="4" t="s">
        <v>38</v>
      </c>
      <c r="B14" s="5" t="s">
        <v>18</v>
      </c>
      <c r="C14" s="5" t="s">
        <v>19</v>
      </c>
      <c r="D14" s="6" t="n">
        <v>15.5</v>
      </c>
      <c r="E14" s="7" t="n">
        <v>470</v>
      </c>
      <c r="F14" s="7" t="n">
        <v>4070</v>
      </c>
      <c r="G14" s="8" t="n">
        <f aca="false">F14/4.184</f>
        <v>972.753346080306</v>
      </c>
      <c r="H14" s="7" t="n">
        <v>46.4</v>
      </c>
      <c r="I14" s="9" t="n">
        <f aca="false">E14/D14</f>
        <v>30.3225806451613</v>
      </c>
      <c r="J14" s="8" t="n">
        <f aca="false">F14/D14</f>
        <v>262.58064516129</v>
      </c>
      <c r="K14" s="8" t="n">
        <f aca="false">G14/D14</f>
        <v>62.7582803922778</v>
      </c>
      <c r="L14" s="10" t="n">
        <f aca="false">H14/D14</f>
        <v>2.99354838709677</v>
      </c>
    </row>
    <row r="15" customFormat="false" ht="15" hidden="false" customHeight="false" outlineLevel="0" collapsed="false">
      <c r="A15" s="4" t="s">
        <v>17</v>
      </c>
      <c r="B15" s="5" t="s">
        <v>18</v>
      </c>
      <c r="C15" s="5" t="s">
        <v>19</v>
      </c>
      <c r="D15" s="6" t="n">
        <v>17.1</v>
      </c>
      <c r="E15" s="7" t="n">
        <v>699</v>
      </c>
      <c r="F15" s="7" t="n">
        <v>4680</v>
      </c>
      <c r="G15" s="8" t="n">
        <f aca="false">F15/4.184</f>
        <v>1118.54684512428</v>
      </c>
      <c r="H15" s="7" t="n">
        <v>56.2</v>
      </c>
      <c r="I15" s="9" t="n">
        <f aca="false">E15/D15</f>
        <v>40.8771929824561</v>
      </c>
      <c r="J15" s="8" t="n">
        <f aca="false">F15/D15</f>
        <v>273.684210526316</v>
      </c>
      <c r="K15" s="8" t="n">
        <f aca="false">G15/D15</f>
        <v>65.4120962060984</v>
      </c>
      <c r="L15" s="10" t="n">
        <f aca="false">H15/D15</f>
        <v>3.28654970760234</v>
      </c>
    </row>
    <row r="16" customFormat="false" ht="15" hidden="false" customHeight="false" outlineLevel="0" collapsed="false">
      <c r="A16" s="4" t="s">
        <v>39</v>
      </c>
      <c r="B16" s="5" t="s">
        <v>18</v>
      </c>
      <c r="C16" s="5" t="s">
        <v>19</v>
      </c>
      <c r="D16" s="6" t="n">
        <v>16.3</v>
      </c>
      <c r="E16" s="7" t="n">
        <v>480</v>
      </c>
      <c r="F16" s="7" t="n">
        <v>4270</v>
      </c>
      <c r="G16" s="8" t="n">
        <f aca="false">F16/4.184</f>
        <v>1020.55449330784</v>
      </c>
      <c r="H16" s="7" t="n">
        <v>49.6</v>
      </c>
      <c r="I16" s="9" t="n">
        <f aca="false">E16/D16</f>
        <v>29.4478527607362</v>
      </c>
      <c r="J16" s="8" t="n">
        <f aca="false">F16/D16</f>
        <v>261.963190184049</v>
      </c>
      <c r="K16" s="8" t="n">
        <f aca="false">G16/D16</f>
        <v>62.6107051109104</v>
      </c>
      <c r="L16" s="10" t="n">
        <f aca="false">H16/D16</f>
        <v>3.04294478527607</v>
      </c>
    </row>
    <row r="17" customFormat="false" ht="15" hidden="false" customHeight="false" outlineLevel="0" collapsed="false">
      <c r="A17" s="4" t="s">
        <v>37</v>
      </c>
      <c r="B17" s="5" t="s">
        <v>18</v>
      </c>
      <c r="C17" s="5" t="s">
        <v>19</v>
      </c>
      <c r="D17" s="6" t="n">
        <v>16.3</v>
      </c>
      <c r="E17" s="7" t="n">
        <v>500</v>
      </c>
      <c r="F17" s="7" t="n">
        <v>4630</v>
      </c>
      <c r="G17" s="8" t="n">
        <f aca="false">F17/4.184</f>
        <v>1106.5965583174</v>
      </c>
      <c r="H17" s="7" t="n">
        <v>52.1</v>
      </c>
      <c r="I17" s="9" t="n">
        <f aca="false">E17/D17</f>
        <v>30.6748466257669</v>
      </c>
      <c r="J17" s="8" t="n">
        <f aca="false">F17/D17</f>
        <v>284.049079754601</v>
      </c>
      <c r="K17" s="8" t="n">
        <f aca="false">G17/D17</f>
        <v>67.8893594059754</v>
      </c>
      <c r="L17" s="10" t="n">
        <f aca="false">H17/D17</f>
        <v>3.19631901840491</v>
      </c>
    </row>
    <row r="18" customFormat="false" ht="15" hidden="false" customHeight="false" outlineLevel="0" collapsed="false">
      <c r="A18" s="4" t="s">
        <v>74</v>
      </c>
      <c r="B18" s="5" t="s">
        <v>18</v>
      </c>
      <c r="C18" s="5" t="s">
        <v>75</v>
      </c>
      <c r="D18" s="6" t="n">
        <v>9.3</v>
      </c>
      <c r="E18" s="7" t="n">
        <v>110</v>
      </c>
      <c r="F18" s="7" t="n">
        <v>1580</v>
      </c>
      <c r="G18" s="8" t="n">
        <f aca="false">F18/4.184</f>
        <v>377.629063097514</v>
      </c>
      <c r="H18" s="7" t="n">
        <v>17.6</v>
      </c>
      <c r="I18" s="9" t="n">
        <f aca="false">E18/D18</f>
        <v>11.8279569892473</v>
      </c>
      <c r="J18" s="8" t="n">
        <f aca="false">F18/D18</f>
        <v>169.89247311828</v>
      </c>
      <c r="K18" s="8" t="n">
        <f aca="false">G18/D18</f>
        <v>40.6052756018833</v>
      </c>
      <c r="L18" s="10" t="n">
        <f aca="false">H18/D18</f>
        <v>1.89247311827957</v>
      </c>
    </row>
    <row r="19" customFormat="false" ht="15" hidden="false" customHeight="false" outlineLevel="0" collapsed="false">
      <c r="A19" s="4" t="s">
        <v>61</v>
      </c>
      <c r="B19" s="5" t="s">
        <v>18</v>
      </c>
      <c r="C19" s="5" t="s">
        <v>19</v>
      </c>
      <c r="D19" s="6" t="n">
        <v>11.4</v>
      </c>
      <c r="E19" s="7" t="n">
        <v>241</v>
      </c>
      <c r="F19" s="7" t="n">
        <v>2240</v>
      </c>
      <c r="G19" s="8" t="n">
        <f aca="false">F19/4.184</f>
        <v>535.372848948375</v>
      </c>
      <c r="H19" s="7" t="n">
        <v>31.4</v>
      </c>
      <c r="I19" s="9" t="n">
        <f aca="false">E19/D19</f>
        <v>21.140350877193</v>
      </c>
      <c r="J19" s="8" t="n">
        <f aca="false">F19/D19</f>
        <v>196.491228070175</v>
      </c>
      <c r="K19" s="8" t="n">
        <f aca="false">G19/D19</f>
        <v>46.9625306095066</v>
      </c>
      <c r="L19" s="10" t="n">
        <f aca="false">H19/D19</f>
        <v>2.75438596491228</v>
      </c>
    </row>
    <row r="20" customFormat="false" ht="15" hidden="false" customHeight="false" outlineLevel="0" collapsed="false">
      <c r="A20" s="4" t="s">
        <v>65</v>
      </c>
      <c r="B20" s="5" t="s">
        <v>18</v>
      </c>
      <c r="C20" s="5" t="s">
        <v>66</v>
      </c>
      <c r="D20" s="6" t="n">
        <v>14.5</v>
      </c>
      <c r="E20" s="7" t="n">
        <v>284</v>
      </c>
      <c r="F20" s="7" t="n">
        <v>1280</v>
      </c>
      <c r="G20" s="8" t="n">
        <f aca="false">F20/4.184</f>
        <v>305.927342256214</v>
      </c>
      <c r="H20" s="7" t="n">
        <v>27.4</v>
      </c>
      <c r="I20" s="9" t="n">
        <f aca="false">E20/D20</f>
        <v>19.5862068965517</v>
      </c>
      <c r="J20" s="8" t="n">
        <f aca="false">F20/D20</f>
        <v>88.2758620689655</v>
      </c>
      <c r="K20" s="8" t="n">
        <f aca="false">G20/D20</f>
        <v>21.0984373969803</v>
      </c>
      <c r="L20" s="10" t="n">
        <f aca="false">H20/D20</f>
        <v>1.88965517241379</v>
      </c>
    </row>
    <row r="21" customFormat="false" ht="15" hidden="false" customHeight="false" outlineLevel="0" collapsed="false">
      <c r="A21" s="4" t="s">
        <v>47</v>
      </c>
      <c r="B21" s="5" t="s">
        <v>36</v>
      </c>
      <c r="C21" s="5" t="s">
        <v>19</v>
      </c>
      <c r="D21" s="6" t="n">
        <v>9.9</v>
      </c>
      <c r="E21" s="7" t="n">
        <v>264</v>
      </c>
      <c r="F21" s="7" t="n">
        <v>1720</v>
      </c>
      <c r="G21" s="8" t="n">
        <f aca="false">F21/4.184</f>
        <v>411.089866156788</v>
      </c>
      <c r="H21" s="7" t="n">
        <v>23.9</v>
      </c>
      <c r="I21" s="9" t="n">
        <f aca="false">E21/D21</f>
        <v>26.6666666666667</v>
      </c>
      <c r="J21" s="8" t="n">
        <f aca="false">F21/D21</f>
        <v>173.737373737374</v>
      </c>
      <c r="K21" s="8" t="n">
        <f aca="false">G21/D21</f>
        <v>41.524228904726</v>
      </c>
      <c r="L21" s="10" t="n">
        <f aca="false">H21/D21</f>
        <v>2.41414141414141</v>
      </c>
    </row>
    <row r="22" customFormat="false" ht="15" hidden="false" customHeight="false" outlineLevel="0" collapsed="false">
      <c r="A22" s="4" t="s">
        <v>48</v>
      </c>
      <c r="B22" s="5" t="s">
        <v>36</v>
      </c>
      <c r="C22" s="5" t="s">
        <v>19</v>
      </c>
      <c r="D22" s="6" t="n">
        <v>9.9</v>
      </c>
      <c r="E22" s="7" t="n">
        <v>260</v>
      </c>
      <c r="F22" s="7" t="n">
        <v>1900</v>
      </c>
      <c r="G22" s="8" t="n">
        <f aca="false">F22/4.184</f>
        <v>454.110898661568</v>
      </c>
      <c r="H22" s="7" t="n">
        <v>26.1</v>
      </c>
      <c r="I22" s="9" t="n">
        <f aca="false">E22/D22</f>
        <v>26.2626262626263</v>
      </c>
      <c r="J22" s="8" t="n">
        <f aca="false">F22/D22</f>
        <v>191.919191919192</v>
      </c>
      <c r="K22" s="8" t="n">
        <f aca="false">G22/D22</f>
        <v>45.8697877435927</v>
      </c>
      <c r="L22" s="10" t="n">
        <f aca="false">H22/D22</f>
        <v>2.63636363636364</v>
      </c>
    </row>
    <row r="23" customFormat="false" ht="15" hidden="false" customHeight="false" outlineLevel="0" collapsed="false">
      <c r="A23" s="4" t="s">
        <v>50</v>
      </c>
      <c r="B23" s="5" t="s">
        <v>36</v>
      </c>
      <c r="C23" s="5" t="s">
        <v>19</v>
      </c>
      <c r="D23" s="6" t="n">
        <v>11</v>
      </c>
      <c r="E23" s="7" t="n">
        <v>275</v>
      </c>
      <c r="F23" s="7" t="n">
        <v>2560</v>
      </c>
      <c r="G23" s="8" t="n">
        <f aca="false">F23/4.184</f>
        <v>611.854684512428</v>
      </c>
      <c r="H23" s="7" t="n">
        <v>26.6</v>
      </c>
      <c r="I23" s="9" t="n">
        <f aca="false">E23/D23</f>
        <v>25</v>
      </c>
      <c r="J23" s="8" t="n">
        <f aca="false">F23/D23</f>
        <v>232.727272727273</v>
      </c>
      <c r="K23" s="8" t="n">
        <f aca="false">G23/D23</f>
        <v>55.6231531374935</v>
      </c>
      <c r="L23" s="10" t="n">
        <f aca="false">H23/D23</f>
        <v>2.41818181818182</v>
      </c>
    </row>
    <row r="24" customFormat="false" ht="15" hidden="false" customHeight="false" outlineLevel="0" collapsed="false">
      <c r="A24" s="4" t="s">
        <v>35</v>
      </c>
      <c r="B24" s="5" t="s">
        <v>36</v>
      </c>
      <c r="C24" s="5" t="s">
        <v>19</v>
      </c>
      <c r="D24" s="6" t="n">
        <v>12</v>
      </c>
      <c r="E24" s="7" t="n">
        <v>370</v>
      </c>
      <c r="F24" s="7" t="n">
        <v>2660</v>
      </c>
      <c r="G24" s="8" t="n">
        <f aca="false">F24/4.184</f>
        <v>635.755258126195</v>
      </c>
      <c r="H24" s="7" t="n">
        <v>30.8</v>
      </c>
      <c r="I24" s="9" t="n">
        <f aca="false">E24/D24</f>
        <v>30.8333333333333</v>
      </c>
      <c r="J24" s="8" t="n">
        <f aca="false">F24/D24</f>
        <v>221.666666666667</v>
      </c>
      <c r="K24" s="8" t="n">
        <f aca="false">G24/D24</f>
        <v>52.9796048438496</v>
      </c>
      <c r="L24" s="10" t="n">
        <f aca="false">H24/D24</f>
        <v>2.56666666666667</v>
      </c>
    </row>
    <row r="25" customFormat="false" ht="15" hidden="false" customHeight="false" outlineLevel="0" collapsed="false">
      <c r="A25" s="4" t="s">
        <v>49</v>
      </c>
      <c r="B25" s="5" t="s">
        <v>36</v>
      </c>
      <c r="C25" s="5" t="s">
        <v>19</v>
      </c>
      <c r="D25" s="6" t="n">
        <v>11.2</v>
      </c>
      <c r="E25" s="7" t="n">
        <v>284</v>
      </c>
      <c r="F25" s="7" t="n">
        <v>2550</v>
      </c>
      <c r="G25" s="8" t="n">
        <f aca="false">F25/4.184</f>
        <v>609.464627151052</v>
      </c>
      <c r="H25" s="7" t="n">
        <v>27.2</v>
      </c>
      <c r="I25" s="9" t="n">
        <f aca="false">E25/D25</f>
        <v>25.3571428571429</v>
      </c>
      <c r="J25" s="8" t="n">
        <f aca="false">F25/D25</f>
        <v>227.678571428571</v>
      </c>
      <c r="K25" s="8" t="n">
        <f aca="false">G25/D25</f>
        <v>54.4164845670582</v>
      </c>
      <c r="L25" s="10" t="n">
        <f aca="false">H25/D25</f>
        <v>2.42857142857143</v>
      </c>
    </row>
    <row r="26" customFormat="false" ht="15" hidden="false" customHeight="false" outlineLevel="0" collapsed="false">
      <c r="A26" s="4" t="s">
        <v>60</v>
      </c>
      <c r="B26" s="5" t="s">
        <v>36</v>
      </c>
      <c r="C26" s="5" t="s">
        <v>19</v>
      </c>
      <c r="D26" s="6" t="n">
        <v>11.2</v>
      </c>
      <c r="E26" s="7" t="n">
        <v>250</v>
      </c>
      <c r="F26" s="7" t="n">
        <v>2320</v>
      </c>
      <c r="G26" s="8" t="n">
        <f aca="false">F26/4.184</f>
        <v>554.493307839388</v>
      </c>
      <c r="H26" s="7" t="n">
        <v>26.1</v>
      </c>
      <c r="I26" s="9" t="n">
        <f aca="false">E26/D26</f>
        <v>22.3214285714286</v>
      </c>
      <c r="J26" s="8" t="n">
        <f aca="false">F26/D26</f>
        <v>207.142857142857</v>
      </c>
      <c r="K26" s="8" t="n">
        <f aca="false">G26/D26</f>
        <v>49.5083310570882</v>
      </c>
      <c r="L26" s="10" t="n">
        <f aca="false">H26/D26</f>
        <v>2.33035714285714</v>
      </c>
    </row>
    <row r="27" customFormat="false" ht="15" hidden="false" customHeight="false" outlineLevel="0" collapsed="false">
      <c r="A27" s="4" t="s">
        <v>71</v>
      </c>
      <c r="B27" s="5" t="s">
        <v>36</v>
      </c>
      <c r="C27" s="5" t="s">
        <v>66</v>
      </c>
      <c r="D27" s="6" t="n">
        <v>10.5</v>
      </c>
      <c r="E27" s="7" t="n">
        <v>152</v>
      </c>
      <c r="F27" s="7" t="n">
        <v>648</v>
      </c>
      <c r="G27" s="8" t="n">
        <f aca="false">F27/4.184</f>
        <v>154.875717017208</v>
      </c>
      <c r="H27" s="7" t="n">
        <v>13.8</v>
      </c>
      <c r="I27" s="9" t="n">
        <f aca="false">E27/D27</f>
        <v>14.4761904761905</v>
      </c>
      <c r="J27" s="8" t="n">
        <f aca="false">F27/D27</f>
        <v>61.7142857142857</v>
      </c>
      <c r="K27" s="8" t="n">
        <f aca="false">G27/D27</f>
        <v>14.7500682873532</v>
      </c>
      <c r="L27" s="10" t="n">
        <f aca="false">H27/D27</f>
        <v>1.31428571428571</v>
      </c>
    </row>
    <row r="28" customFormat="false" ht="15" hidden="false" customHeight="false" outlineLevel="0" collapsed="false">
      <c r="A28" s="4" t="s">
        <v>20</v>
      </c>
      <c r="B28" s="5" t="s">
        <v>15</v>
      </c>
      <c r="C28" s="5" t="s">
        <v>21</v>
      </c>
      <c r="D28" s="6" t="n">
        <v>10.1</v>
      </c>
      <c r="E28" s="7" t="n">
        <v>385</v>
      </c>
      <c r="F28" s="7" t="n">
        <v>4310</v>
      </c>
      <c r="G28" s="8" t="n">
        <f aca="false">F28/4.184</f>
        <v>1030.11472275335</v>
      </c>
      <c r="H28" s="7" t="n">
        <v>12</v>
      </c>
      <c r="I28" s="9" t="n">
        <f aca="false">E28/D28</f>
        <v>38.1188118811881</v>
      </c>
      <c r="J28" s="8" t="n">
        <f aca="false">F28/D28</f>
        <v>426.732673267327</v>
      </c>
      <c r="K28" s="8" t="n">
        <f aca="false">G28/D28</f>
        <v>101.991556708252</v>
      </c>
      <c r="L28" s="10" t="n">
        <f aca="false">H28/D28</f>
        <v>1.18811881188119</v>
      </c>
    </row>
    <row r="29" customFormat="false" ht="15" hidden="false" customHeight="false" outlineLevel="0" collapsed="false">
      <c r="A29" s="4" t="s">
        <v>32</v>
      </c>
      <c r="B29" s="5" t="s">
        <v>15</v>
      </c>
      <c r="C29" s="5" t="s">
        <v>33</v>
      </c>
      <c r="D29" s="6" t="n">
        <v>7.4</v>
      </c>
      <c r="E29" s="7" t="n">
        <v>232</v>
      </c>
      <c r="F29" s="7" t="n">
        <v>3160</v>
      </c>
      <c r="G29" s="8" t="n">
        <f aca="false">F29/4.184</f>
        <v>755.258126195029</v>
      </c>
      <c r="H29" s="7" t="n">
        <v>9.3</v>
      </c>
      <c r="I29" s="9" t="n">
        <f aca="false">E29/D29</f>
        <v>31.3513513513514</v>
      </c>
      <c r="J29" s="8" t="n">
        <f aca="false">F29/D29</f>
        <v>427.027027027027</v>
      </c>
      <c r="K29" s="8" t="n">
        <f aca="false">G29/D29</f>
        <v>102.061908945274</v>
      </c>
      <c r="L29" s="10" t="n">
        <f aca="false">H29/D29</f>
        <v>1.25675675675676</v>
      </c>
    </row>
    <row r="30" customFormat="false" ht="15" hidden="false" customHeight="false" outlineLevel="0" collapsed="false">
      <c r="A30" s="4" t="s">
        <v>43</v>
      </c>
      <c r="B30" s="5" t="s">
        <v>15</v>
      </c>
      <c r="C30" s="5" t="s">
        <v>44</v>
      </c>
      <c r="D30" s="6" t="n">
        <v>10.1</v>
      </c>
      <c r="E30" s="7" t="n">
        <v>280</v>
      </c>
      <c r="F30" s="7" t="n">
        <v>3390</v>
      </c>
      <c r="G30" s="8" t="n">
        <f aca="false">F30/4.184</f>
        <v>810.229445506692</v>
      </c>
      <c r="H30" s="7" t="n">
        <v>24.8</v>
      </c>
      <c r="I30" s="9" t="n">
        <f aca="false">E30/D30</f>
        <v>27.7227722772277</v>
      </c>
      <c r="J30" s="8" t="n">
        <f aca="false">F30/D30</f>
        <v>335.643564356436</v>
      </c>
      <c r="K30" s="8" t="n">
        <f aca="false">G30/D30</f>
        <v>80.2207371788804</v>
      </c>
      <c r="L30" s="10" t="n">
        <f aca="false">H30/D30</f>
        <v>2.45544554455446</v>
      </c>
    </row>
    <row r="31" customFormat="false" ht="15" hidden="false" customHeight="false" outlineLevel="0" collapsed="false">
      <c r="A31" s="4" t="s">
        <v>57</v>
      </c>
      <c r="B31" s="5" t="s">
        <v>15</v>
      </c>
      <c r="C31" s="5" t="s">
        <v>58</v>
      </c>
      <c r="D31" s="6" t="n">
        <v>7.4</v>
      </c>
      <c r="E31" s="7" t="n">
        <v>180</v>
      </c>
      <c r="F31" s="7" t="n">
        <v>2710</v>
      </c>
      <c r="G31" s="8" t="n">
        <f aca="false">F31/4.184</f>
        <v>647.705544933078</v>
      </c>
      <c r="H31" s="7" t="n">
        <v>14.9</v>
      </c>
      <c r="I31" s="9" t="n">
        <f aca="false">E31/D31</f>
        <v>24.3243243243243</v>
      </c>
      <c r="J31" s="8" t="n">
        <f aca="false">F31/D31</f>
        <v>366.216216216216</v>
      </c>
      <c r="K31" s="8" t="n">
        <f aca="false">G31/D31</f>
        <v>87.5277763423079</v>
      </c>
      <c r="L31" s="10" t="n">
        <f aca="false">H31/D31</f>
        <v>2.01351351351351</v>
      </c>
    </row>
    <row r="32" customFormat="false" ht="15" hidden="false" customHeight="false" outlineLevel="0" collapsed="false">
      <c r="A32" s="4" t="s">
        <v>31</v>
      </c>
      <c r="B32" s="5" t="s">
        <v>15</v>
      </c>
      <c r="C32" s="5" t="s">
        <v>29</v>
      </c>
      <c r="D32" s="6" t="n">
        <v>5.7</v>
      </c>
      <c r="E32" s="7" t="n">
        <v>180</v>
      </c>
      <c r="F32" s="7" t="n">
        <v>2250</v>
      </c>
      <c r="G32" s="8" t="n">
        <f aca="false">F32/4.184</f>
        <v>537.762906309751</v>
      </c>
      <c r="H32" s="7" t="n">
        <v>7.9</v>
      </c>
      <c r="I32" s="9" t="n">
        <f aca="false">E32/D32</f>
        <v>31.5789473684211</v>
      </c>
      <c r="J32" s="8" t="n">
        <f aca="false">F32/D32</f>
        <v>394.736842105263</v>
      </c>
      <c r="K32" s="8" t="n">
        <f aca="false">G32/D32</f>
        <v>94.3443695280266</v>
      </c>
      <c r="L32" s="10" t="n">
        <f aca="false">H32/D32</f>
        <v>1.3859649122807</v>
      </c>
    </row>
    <row r="33" customFormat="false" ht="15" hidden="false" customHeight="false" outlineLevel="0" collapsed="false">
      <c r="A33" s="4" t="s">
        <v>28</v>
      </c>
      <c r="B33" s="5" t="s">
        <v>15</v>
      </c>
      <c r="C33" s="5" t="s">
        <v>29</v>
      </c>
      <c r="D33" s="6" t="n">
        <v>3.7</v>
      </c>
      <c r="E33" s="7" t="n">
        <v>120</v>
      </c>
      <c r="F33" s="7" t="n">
        <v>1500</v>
      </c>
      <c r="G33" s="8" t="n">
        <f aca="false">F33/4.184</f>
        <v>358.508604206501</v>
      </c>
      <c r="H33" s="7" t="n">
        <v>5.3</v>
      </c>
      <c r="I33" s="9" t="n">
        <f aca="false">E33/D33</f>
        <v>32.4324324324324</v>
      </c>
      <c r="J33" s="8" t="n">
        <f aca="false">F33/D33</f>
        <v>405.405405405405</v>
      </c>
      <c r="K33" s="8" t="n">
        <f aca="false">G33/D33</f>
        <v>96.8942173531084</v>
      </c>
      <c r="L33" s="10" t="n">
        <f aca="false">H33/D33</f>
        <v>1.43243243243243</v>
      </c>
    </row>
    <row r="34" customFormat="false" ht="15" hidden="false" customHeight="false" outlineLevel="0" collapsed="false">
      <c r="A34" s="4" t="s">
        <v>14</v>
      </c>
      <c r="B34" s="5" t="s">
        <v>15</v>
      </c>
      <c r="C34" s="5" t="s">
        <v>16</v>
      </c>
      <c r="D34" s="6" t="n">
        <v>6.7</v>
      </c>
      <c r="E34" s="7" t="n">
        <v>330</v>
      </c>
      <c r="F34" s="7" t="n">
        <v>3080</v>
      </c>
      <c r="G34" s="8" t="n">
        <f aca="false">F34/4.184</f>
        <v>736.137667304015</v>
      </c>
      <c r="H34" s="7" t="n">
        <v>20.1</v>
      </c>
      <c r="I34" s="9" t="n">
        <f aca="false">E34/D34</f>
        <v>49.2537313432836</v>
      </c>
      <c r="J34" s="8" t="n">
        <f aca="false">F34/D34</f>
        <v>459.701492537313</v>
      </c>
      <c r="K34" s="8" t="n">
        <f aca="false">G34/D34</f>
        <v>109.871293627465</v>
      </c>
      <c r="L34" s="10" t="n">
        <f aca="false">H34/D34</f>
        <v>3</v>
      </c>
    </row>
    <row r="35" customFormat="false" ht="15" hidden="false" customHeight="false" outlineLevel="0" collapsed="false">
      <c r="A35" s="4" t="s">
        <v>72</v>
      </c>
      <c r="B35" s="5" t="s">
        <v>41</v>
      </c>
      <c r="C35" s="5" t="s">
        <v>42</v>
      </c>
      <c r="D35" s="6" t="n">
        <v>7.6</v>
      </c>
      <c r="E35" s="7" t="n">
        <v>106</v>
      </c>
      <c r="F35" s="7" t="n">
        <v>1010</v>
      </c>
      <c r="G35" s="8" t="n">
        <f aca="false">F35/4.184</f>
        <v>241.395793499044</v>
      </c>
      <c r="H35" s="7" t="n">
        <v>13.3</v>
      </c>
      <c r="I35" s="9" t="n">
        <f aca="false">E35/D35</f>
        <v>13.9473684210526</v>
      </c>
      <c r="J35" s="8" t="n">
        <f aca="false">F35/D35</f>
        <v>132.894736842105</v>
      </c>
      <c r="K35" s="8" t="n">
        <f aca="false">G35/D35</f>
        <v>31.7626044077689</v>
      </c>
      <c r="L35" s="10" t="n">
        <f aca="false">H35/D35</f>
        <v>1.75</v>
      </c>
    </row>
    <row r="36" customFormat="false" ht="15" hidden="false" customHeight="false" outlineLevel="0" collapsed="false">
      <c r="A36" s="4" t="s">
        <v>73</v>
      </c>
      <c r="B36" s="5" t="s">
        <v>41</v>
      </c>
      <c r="C36" s="5" t="s">
        <v>42</v>
      </c>
      <c r="D36" s="6" t="n">
        <v>11.1</v>
      </c>
      <c r="E36" s="7" t="n">
        <v>147</v>
      </c>
      <c r="F36" s="7" t="n">
        <v>1420</v>
      </c>
      <c r="G36" s="8" t="n">
        <f aca="false">F36/4.184</f>
        <v>339.388145315488</v>
      </c>
      <c r="H36" s="7" t="n">
        <v>19.8</v>
      </c>
      <c r="I36" s="9" t="n">
        <f aca="false">E36/D36</f>
        <v>13.2432432432432</v>
      </c>
      <c r="J36" s="8" t="n">
        <f aca="false">F36/D36</f>
        <v>127.927927927928</v>
      </c>
      <c r="K36" s="8" t="n">
        <f aca="false">G36/D36</f>
        <v>30.5755085869809</v>
      </c>
      <c r="L36" s="10" t="n">
        <f aca="false">H36/D36</f>
        <v>1.78378378378378</v>
      </c>
    </row>
    <row r="37" customFormat="false" ht="15" hidden="false" customHeight="false" outlineLevel="0" collapsed="false">
      <c r="A37" s="4" t="s">
        <v>40</v>
      </c>
      <c r="B37" s="5" t="s">
        <v>41</v>
      </c>
      <c r="C37" s="5" t="s">
        <v>42</v>
      </c>
      <c r="D37" s="6" t="n">
        <v>9.9</v>
      </c>
      <c r="E37" s="7" t="n">
        <v>286</v>
      </c>
      <c r="F37" s="7" t="n">
        <v>3260</v>
      </c>
      <c r="G37" s="8" t="n">
        <f aca="false">F37/4.184</f>
        <v>779.158699808795</v>
      </c>
      <c r="H37" s="7" t="n">
        <v>21.2</v>
      </c>
      <c r="I37" s="9" t="n">
        <f aca="false">E37/D37</f>
        <v>28.8888888888889</v>
      </c>
      <c r="J37" s="8" t="n">
        <f aca="false">F37/D37</f>
        <v>329.292929292929</v>
      </c>
      <c r="K37" s="8" t="n">
        <f aca="false">G37/D37</f>
        <v>78.7028989705854</v>
      </c>
      <c r="L37" s="10" t="n">
        <f aca="false">H37/D37</f>
        <v>2.14141414141414</v>
      </c>
    </row>
    <row r="38" customFormat="false" ht="15" hidden="false" customHeight="false" outlineLevel="0" collapsed="false">
      <c r="A38" s="4" t="s">
        <v>54</v>
      </c>
      <c r="B38" s="5" t="s">
        <v>55</v>
      </c>
      <c r="C38" s="5" t="s">
        <v>56</v>
      </c>
      <c r="D38" s="6" t="n">
        <v>3</v>
      </c>
      <c r="E38" s="7" t="n">
        <v>74</v>
      </c>
      <c r="F38" s="7" t="n">
        <v>693</v>
      </c>
      <c r="G38" s="8" t="n">
        <f aca="false">F38/4.184</f>
        <v>165.630975143403</v>
      </c>
      <c r="H38" s="7" t="n">
        <v>7.6</v>
      </c>
      <c r="I38" s="9" t="n">
        <f aca="false">E38/D38</f>
        <v>24.6666666666667</v>
      </c>
      <c r="J38" s="8" t="n">
        <f aca="false">F38/D38</f>
        <v>231</v>
      </c>
      <c r="K38" s="8" t="n">
        <f aca="false">G38/D38</f>
        <v>55.2103250478012</v>
      </c>
      <c r="L38" s="10" t="n">
        <f aca="false">H38/D38</f>
        <v>2.53333333333333</v>
      </c>
    </row>
    <row r="39" customFormat="false" ht="15" hidden="false" customHeight="false" outlineLevel="0" collapsed="false">
      <c r="A39" s="4" t="s">
        <v>67</v>
      </c>
      <c r="B39" s="5" t="s">
        <v>55</v>
      </c>
      <c r="C39" s="5" t="s">
        <v>19</v>
      </c>
      <c r="D39" s="6" t="n">
        <v>5.6</v>
      </c>
      <c r="E39" s="7" t="n">
        <v>109</v>
      </c>
      <c r="F39" s="7" t="n">
        <v>806</v>
      </c>
      <c r="G39" s="8" t="n">
        <f aca="false">F39/4.184</f>
        <v>192.63862332696</v>
      </c>
      <c r="H39" s="7" t="n">
        <v>14.5</v>
      </c>
      <c r="I39" s="9" t="n">
        <f aca="false">E39/D39</f>
        <v>19.4642857142857</v>
      </c>
      <c r="J39" s="8" t="n">
        <f aca="false">F39/D39</f>
        <v>143.928571428571</v>
      </c>
      <c r="K39" s="8" t="n">
        <f aca="false">G39/D39</f>
        <v>34.3997541655286</v>
      </c>
      <c r="L39" s="10" t="n">
        <f aca="false">H39/D39</f>
        <v>2.58928571428571</v>
      </c>
    </row>
    <row r="40" customFormat="false" ht="15" hidden="false" customHeight="false" outlineLevel="0" collapsed="false">
      <c r="A40" s="4" t="s">
        <v>63</v>
      </c>
      <c r="B40" s="5" t="s">
        <v>55</v>
      </c>
      <c r="C40" s="5" t="s">
        <v>64</v>
      </c>
      <c r="D40" s="6" t="n">
        <v>5.6</v>
      </c>
      <c r="E40" s="7" t="n">
        <v>118</v>
      </c>
      <c r="F40" s="7" t="n">
        <v>1090</v>
      </c>
      <c r="G40" s="8" t="n">
        <f aca="false">F40/4.184</f>
        <v>260.516252390057</v>
      </c>
      <c r="H40" s="7" t="n">
        <v>7.3</v>
      </c>
      <c r="I40" s="9" t="n">
        <f aca="false">E40/D40</f>
        <v>21.0714285714286</v>
      </c>
      <c r="J40" s="8" t="n">
        <f aca="false">F40/D40</f>
        <v>194.642857142857</v>
      </c>
      <c r="K40" s="8" t="n">
        <f aca="false">G40/D40</f>
        <v>46.5207593553674</v>
      </c>
      <c r="L40" s="10" t="n">
        <f aca="false">H40/D40</f>
        <v>1.30357142857143</v>
      </c>
    </row>
    <row r="41" customFormat="false" ht="15" hidden="false" customHeight="false" outlineLevel="0" collapsed="false">
      <c r="A41" s="4" t="s">
        <v>62</v>
      </c>
      <c r="B41" s="5" t="s">
        <v>55</v>
      </c>
      <c r="C41" s="5" t="s">
        <v>19</v>
      </c>
      <c r="D41" s="6" t="n">
        <v>5.6</v>
      </c>
      <c r="E41" s="7" t="n">
        <v>118</v>
      </c>
      <c r="F41" s="7" t="n">
        <v>813</v>
      </c>
      <c r="G41" s="8" t="n">
        <f aca="false">F41/4.184</f>
        <v>194.311663479924</v>
      </c>
      <c r="H41" s="7" t="n">
        <v>15.3</v>
      </c>
      <c r="I41" s="9" t="n">
        <f aca="false">E41/D41</f>
        <v>21.0714285714286</v>
      </c>
      <c r="J41" s="8" t="n">
        <f aca="false">F41/D41</f>
        <v>145.178571428571</v>
      </c>
      <c r="K41" s="8" t="n">
        <f aca="false">G41/D41</f>
        <v>34.6985113357006</v>
      </c>
      <c r="L41" s="10" t="n">
        <f aca="false">H41/D41</f>
        <v>2.73214285714286</v>
      </c>
    </row>
    <row r="42" customFormat="false" ht="15" hidden="false" customHeight="false" outlineLevel="0" collapsed="false">
      <c r="A42" s="4" t="s">
        <v>59</v>
      </c>
      <c r="B42" s="5" t="s">
        <v>55</v>
      </c>
      <c r="C42" s="5" t="s">
        <v>19</v>
      </c>
      <c r="D42" s="6" t="n">
        <v>15.8</v>
      </c>
      <c r="E42" s="7" t="n">
        <v>354</v>
      </c>
      <c r="F42" s="7" t="n">
        <v>2439</v>
      </c>
      <c r="G42" s="8" t="n">
        <f aca="false">F42/4.184</f>
        <v>582.934990439771</v>
      </c>
      <c r="H42" s="7" t="n">
        <v>45.9</v>
      </c>
      <c r="I42" s="9" t="n">
        <f aca="false">E42/D42</f>
        <v>22.4050632911392</v>
      </c>
      <c r="J42" s="8" t="n">
        <f aca="false">F42/D42</f>
        <v>154.367088607595</v>
      </c>
      <c r="K42" s="8" t="n">
        <f aca="false">G42/D42</f>
        <v>36.8946196480867</v>
      </c>
      <c r="L42" s="10" t="n">
        <f aca="false">H42/D42</f>
        <v>2.90506329113924</v>
      </c>
    </row>
    <row r="43" customFormat="false" ht="15" hidden="false" customHeight="false" outlineLevel="0" collapsed="false">
      <c r="A43" s="4" t="s">
        <v>70</v>
      </c>
      <c r="B43" s="5" t="s">
        <v>55</v>
      </c>
      <c r="C43" s="5" t="s">
        <v>69</v>
      </c>
      <c r="D43" s="6" t="n">
        <v>5.6</v>
      </c>
      <c r="E43" s="7" t="n">
        <v>99</v>
      </c>
      <c r="F43" s="7" t="n">
        <v>1160</v>
      </c>
      <c r="G43" s="8" t="n">
        <f aca="false">F43/4.184</f>
        <v>277.246653919694</v>
      </c>
      <c r="H43" s="7" t="n">
        <v>11.6</v>
      </c>
      <c r="I43" s="9" t="n">
        <f aca="false">E43/D43</f>
        <v>17.6785714285714</v>
      </c>
      <c r="J43" s="8" t="n">
        <f aca="false">F43/D43</f>
        <v>207.142857142857</v>
      </c>
      <c r="K43" s="8" t="n">
        <f aca="false">G43/D43</f>
        <v>49.5083310570882</v>
      </c>
      <c r="L43" s="10" t="n">
        <f aca="false">H43/D43</f>
        <v>2.07142857142857</v>
      </c>
    </row>
    <row r="44" customFormat="false" ht="15" hidden="false" customHeight="false" outlineLevel="0" collapsed="false">
      <c r="A44" s="4" t="s">
        <v>68</v>
      </c>
      <c r="B44" s="5" t="s">
        <v>55</v>
      </c>
      <c r="C44" s="5" t="s">
        <v>69</v>
      </c>
      <c r="D44" s="6" t="n">
        <v>15.8</v>
      </c>
      <c r="E44" s="7" t="n">
        <v>297</v>
      </c>
      <c r="F44" s="7" t="n">
        <v>3480</v>
      </c>
      <c r="G44" s="8" t="n">
        <f aca="false">F44/4.184</f>
        <v>831.739961759082</v>
      </c>
      <c r="H44" s="7" t="n">
        <v>34.8</v>
      </c>
      <c r="I44" s="9" t="n">
        <f aca="false">E44/D44</f>
        <v>18.7974683544304</v>
      </c>
      <c r="J44" s="8" t="n">
        <f aca="false">F44/D44</f>
        <v>220.253164556962</v>
      </c>
      <c r="K44" s="8" t="n">
        <f aca="false">G44/D44</f>
        <v>52.6417697315875</v>
      </c>
      <c r="L44" s="10" t="n">
        <f aca="false">H44/D44</f>
        <v>2.20253164556962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9.7" hidden="false" customHeight="false" outlineLevel="0" collapsed="false">
      <c r="A1" s="1" t="s">
        <v>82</v>
      </c>
    </row>
    <row r="2" customFormat="false" ht="15" hidden="false" customHeight="false" outlineLevel="0" collapsed="false">
      <c r="A2" s="11"/>
    </row>
    <row r="3" customFormat="false" ht="15" hidden="false" customHeight="false" outlineLevel="0" collapsed="false">
      <c r="A3" s="12" t="s">
        <v>83</v>
      </c>
    </row>
    <row r="4" customFormat="false" ht="15" hidden="false" customHeight="false" outlineLevel="0" collapsed="false">
      <c r="A4" s="11" t="s">
        <v>84</v>
      </c>
    </row>
    <row r="5" customFormat="false" ht="15" hidden="false" customHeight="false" outlineLevel="0" collapsed="false">
      <c r="A5" s="11"/>
    </row>
    <row r="6" customFormat="false" ht="15" hidden="false" customHeight="false" outlineLevel="0" collapsed="false">
      <c r="A6" s="12" t="s">
        <v>85</v>
      </c>
    </row>
    <row r="7" customFormat="false" ht="15" hidden="false" customHeight="false" outlineLevel="0" collapsed="false">
      <c r="A7" s="11" t="s">
        <v>86</v>
      </c>
    </row>
    <row r="8" customFormat="false" ht="15" hidden="false" customHeight="false" outlineLevel="0" collapsed="false">
      <c r="A8" s="11" t="s">
        <v>87</v>
      </c>
    </row>
    <row r="9" customFormat="false" ht="15" hidden="false" customHeight="false" outlineLevel="0" collapsed="false">
      <c r="A9" s="11"/>
    </row>
    <row r="10" customFormat="false" ht="15" hidden="false" customHeight="false" outlineLevel="0" collapsed="false">
      <c r="A10" s="12" t="s">
        <v>88</v>
      </c>
    </row>
    <row r="11" customFormat="false" ht="15" hidden="false" customHeight="false" outlineLevel="0" collapsed="false">
      <c r="A11" s="11" t="s">
        <v>89</v>
      </c>
    </row>
    <row r="12" customFormat="false" ht="15" hidden="false" customHeight="false" outlineLevel="0" collapsed="false">
      <c r="A12" s="11" t="s">
        <v>90</v>
      </c>
    </row>
    <row r="13" customFormat="false" ht="15" hidden="false" customHeight="false" outlineLevel="0" collapsed="false">
      <c r="A13" s="11" t="s">
        <v>91</v>
      </c>
    </row>
    <row r="14" customFormat="false" ht="15" hidden="false" customHeight="false" outlineLevel="0" collapsed="false">
      <c r="A14" s="11"/>
    </row>
    <row r="15" customFormat="false" ht="15" hidden="false" customHeight="false" outlineLevel="0" collapsed="false">
      <c r="A15" s="12" t="s">
        <v>92</v>
      </c>
    </row>
    <row r="16" customFormat="false" ht="15" hidden="false" customHeight="false" outlineLevel="0" collapsed="false">
      <c r="A16" s="11" t="s">
        <v>93</v>
      </c>
    </row>
    <row r="17" customFormat="false" ht="15" hidden="false" customHeight="false" outlineLevel="0" collapsed="false">
      <c r="A17" s="11" t="s">
        <v>94</v>
      </c>
    </row>
    <row r="18" customFormat="false" ht="15" hidden="false" customHeight="false" outlineLevel="0" collapsed="false">
      <c r="A18" s="11" t="s">
        <v>95</v>
      </c>
    </row>
    <row r="19" customFormat="false" ht="15" hidden="false" customHeight="false" outlineLevel="0" collapsed="false">
      <c r="A19" s="11"/>
    </row>
    <row r="20" customFormat="false" ht="15" hidden="false" customHeight="false" outlineLevel="0" collapsed="false">
      <c r="A20" s="12" t="s">
        <v>96</v>
      </c>
    </row>
    <row r="21" customFormat="false" ht="15" hidden="false" customHeight="false" outlineLevel="0" collapsed="false">
      <c r="A21" s="11" t="s">
        <v>97</v>
      </c>
    </row>
    <row r="22" customFormat="false" ht="15" hidden="false" customHeight="false" outlineLevel="0" collapsed="false">
      <c r="A22" s="11" t="s">
        <v>98</v>
      </c>
    </row>
    <row r="23" customFormat="false" ht="15" hidden="false" customHeight="false" outlineLevel="0" collapsed="false">
      <c r="A23" s="11"/>
    </row>
    <row r="24" customFormat="false" ht="15" hidden="false" customHeight="false" outlineLevel="0" collapsed="false">
      <c r="A24" s="11" t="s">
        <v>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2026-06-01T02:16:33Z</dcterms:created>
  <dc:creator>openpyxl</dc:creator>
  <dc:description/>
  <dc:language>en-US</dc:language>
  <cp:lastModifiedBy/>
  <dcterms:modified xsi:type="dcterms:W3CDTF">2026-06-01T02:16:33Z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